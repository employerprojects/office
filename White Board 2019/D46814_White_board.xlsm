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F:\Version Control System\Repository\GitHub\CW\White Board 2019\"/>
    </mc:Choice>
  </mc:AlternateContent>
  <xr:revisionPtr revIDLastSave="0" documentId="13_ncr:1_{58D05E1F-5E6B-483F-90AC-23E304D8DF5B}" xr6:coauthVersionLast="40" xr6:coauthVersionMax="40" xr10:uidLastSave="{00000000-0000-0000-0000-000000000000}"/>
  <bookViews>
    <workbookView xWindow="0" yWindow="0" windowWidth="15015" windowHeight="6270" tabRatio="570" activeTab="1" xr2:uid="{00000000-000D-0000-FFFF-FFFF00000000}"/>
  </bookViews>
  <sheets>
    <sheet name="Job tracker" sheetId="1" r:id="rId1"/>
    <sheet name="Sheet1" sheetId="23" r:id="rId2"/>
    <sheet name="How to use" sheetId="9" r:id="rId3"/>
    <sheet name="Columns description" sheetId="5" r:id="rId4"/>
    <sheet name="Lists" sheetId="2" r:id="rId5"/>
  </sheets>
  <definedNames>
    <definedName name="_xlnm._FilterDatabase" localSheetId="0" hidden="1">'Job tracker'!$A$3:$D$3</definedName>
    <definedName name="ExternalData_1" localSheetId="1" hidden="1">Sheet1!$A$1:$E$13</definedName>
    <definedName name="Operator_List">Lists!$H$2:$H$5</definedName>
    <definedName name="OutupMonth_List">Lists!$M$2:$M$14</definedName>
    <definedName name="Progress_List">Lists!$A$2:$A$23</definedName>
    <definedName name="ProgressCalculation_List">Lists!$A$2:$F$23</definedName>
    <definedName name="Shortages_List">Lists!$J$3:$J$4</definedName>
    <definedName name="Years_List">Lists!$J$8:$J$12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TransformedColumns_c343ca00-d1b3-47df-8028-c2161c70ad45" name="qryTransformedColumns" connection="Query - qryTransformedColumns"/>
        </x15:modelTables>
      </x15:dataModel>
    </ext>
  </extLst>
</workbook>
</file>

<file path=xl/calcChain.xml><?xml version="1.0" encoding="utf-8"?>
<calcChain xmlns="http://schemas.openxmlformats.org/spreadsheetml/2006/main">
  <c r="H15" i="1" l="1"/>
  <c r="T15" i="1"/>
  <c r="H14" i="1"/>
  <c r="T14" i="1"/>
  <c r="H13" i="1"/>
  <c r="T13" i="1"/>
  <c r="E24" i="2" l="1"/>
  <c r="D24" i="2"/>
  <c r="B24" i="2"/>
  <c r="C22" i="2" s="1"/>
  <c r="E23" i="2"/>
  <c r="C23" i="2"/>
  <c r="E22" i="2"/>
  <c r="E21" i="2"/>
  <c r="C21" i="2"/>
  <c r="E20" i="2"/>
  <c r="C20" i="2"/>
  <c r="E19" i="2"/>
  <c r="E18" i="2"/>
  <c r="N17" i="2"/>
  <c r="E17" i="2"/>
  <c r="E16" i="2"/>
  <c r="C16" i="2"/>
  <c r="E15" i="2"/>
  <c r="C15" i="2"/>
  <c r="E14" i="2"/>
  <c r="E13" i="2"/>
  <c r="E12" i="2"/>
  <c r="C12" i="2"/>
  <c r="E11" i="2"/>
  <c r="C11" i="2"/>
  <c r="E10" i="2"/>
  <c r="C10" i="2"/>
  <c r="E9" i="2"/>
  <c r="E8" i="2"/>
  <c r="C8" i="2"/>
  <c r="E7" i="2"/>
  <c r="C7" i="2"/>
  <c r="E6" i="2"/>
  <c r="E5" i="2"/>
  <c r="E4" i="2"/>
  <c r="C4" i="2"/>
  <c r="E3" i="2"/>
  <c r="C3" i="2"/>
  <c r="F2" i="2"/>
  <c r="F3" i="2" s="1"/>
  <c r="T12" i="1"/>
  <c r="T11" i="1"/>
  <c r="T10" i="1"/>
  <c r="T9" i="1"/>
  <c r="T8" i="1"/>
  <c r="T7" i="1"/>
  <c r="T6" i="1"/>
  <c r="T5" i="1"/>
  <c r="T4" i="1"/>
  <c r="H9" i="1" l="1"/>
  <c r="H10" i="1"/>
  <c r="F4" i="2"/>
  <c r="H12" i="1"/>
  <c r="H11" i="1"/>
  <c r="F8" i="2"/>
  <c r="F9" i="2" s="1"/>
  <c r="F10" i="2" s="1"/>
  <c r="F11" i="2" s="1"/>
  <c r="F12" i="2" s="1"/>
  <c r="F5" i="2"/>
  <c r="F6" i="2" s="1"/>
  <c r="F7" i="2" s="1"/>
  <c r="C5" i="2"/>
  <c r="C24" i="2" s="1"/>
  <c r="C13" i="2"/>
  <c r="C18" i="2"/>
  <c r="C6" i="2"/>
  <c r="C14" i="2"/>
  <c r="C19" i="2"/>
  <c r="C9" i="2"/>
  <c r="C17" i="2"/>
  <c r="H7" i="1" l="1"/>
  <c r="H8" i="1"/>
  <c r="F13" i="2"/>
  <c r="F14" i="2" s="1"/>
  <c r="F15" i="2" s="1"/>
  <c r="F16" i="2" s="1"/>
  <c r="F17" i="2" s="1"/>
  <c r="F18" i="2" s="1"/>
  <c r="F19" i="2" s="1"/>
  <c r="F20" i="2" s="1"/>
  <c r="F21" i="2" s="1"/>
  <c r="F23" i="2" l="1"/>
  <c r="F22" i="2"/>
  <c r="H5" i="1" l="1"/>
  <c r="H6" i="1"/>
  <c r="H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Janda, Martin</author>
  </authors>
  <commentList>
    <comment ref="D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Any shortage - select Yes.
After ALL shortages are filled - select - NO.
Filled shortage has got date for each part in Shortage filled date column.</t>
        </r>
      </text>
    </comment>
    <comment ref="E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List of shortages.
Each part own line.
New line Alt+Enter.</t>
        </r>
      </text>
    </comment>
    <comment ref="F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Date shortage was filled.
Each part own line.
New line Alt+Enter.</t>
        </r>
      </text>
    </comment>
    <comment ref="G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Select operation in progress or just has progressed.
Do not move here before you move in real.</t>
        </r>
      </text>
    </comment>
    <comment ref="I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Last or current operator on job. Select from list.</t>
        </r>
      </text>
    </comment>
    <comment ref="M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For each unit give reason.</t>
        </r>
      </text>
    </comment>
    <comment ref="O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Messages to and from team leader.
Other notes.
</t>
        </r>
      </text>
    </comment>
    <comment ref="P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how many units are in stock in the beginning of the period.</t>
        </r>
      </text>
    </comment>
    <comment ref="Q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Number of units to be built in the period. (Prediction is better then nothing.)</t>
        </r>
      </text>
    </comment>
    <comment ref="R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month.</t>
        </r>
      </text>
    </comment>
    <comment ref="S3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year.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577C3D-0210-497F-AA8C-0AA270C0D66B}" keepAlive="1" name="Query - qryCalculations" description="Connection to the 'qryCalculations' query in the workbook." type="5" refreshedVersion="6" background="1" saveData="1">
    <dbPr connection="Provider=Microsoft.Mashup.OleDb.1;Data Source=$Workbook$;Location=qryCalculations;Extended Properties=&quot;&quot;" command="SELECT * FROM [qryCalculations]"/>
  </connection>
  <connection id="2" xr16:uid="{EE5EAC1F-23F7-4124-A021-1BC11B8A6CEE}" name="Query - qryTransformedColumns" description="Connection to the 'qryTransformedColumns' query in the workbook." type="100" refreshedVersion="6" minRefreshableVersion="5">
    <extLst>
      <ext xmlns:x15="http://schemas.microsoft.com/office/spreadsheetml/2010/11/main" uri="{DE250136-89BD-433C-8126-D09CA5730AF9}">
        <x15:connection id="07926621-5624-412f-acb4-493213e33e32"/>
      </ext>
    </extLst>
  </connection>
  <connection id="3" xr16:uid="{65CD6267-8144-4C38-AA5E-E4C6EAD757F2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<sst xmlns="http://schemas.openxmlformats.org/spreadsheetml/2006/main" count="261" uniqueCount="167">
  <si>
    <t>KX</t>
  </si>
  <si>
    <t>Batch</t>
  </si>
  <si>
    <t>Progress</t>
  </si>
  <si>
    <t>Shortages</t>
  </si>
  <si>
    <t>Yes</t>
  </si>
  <si>
    <t>No</t>
  </si>
  <si>
    <t>Note</t>
  </si>
  <si>
    <t>Job</t>
  </si>
  <si>
    <t>Booked in</t>
  </si>
  <si>
    <t>Out qty</t>
  </si>
  <si>
    <t>Short of…</t>
  </si>
  <si>
    <t>10. Welding</t>
  </si>
  <si>
    <t>11. Welding done</t>
  </si>
  <si>
    <t>12. Heatcycling</t>
  </si>
  <si>
    <t>13. Heatcycling done</t>
  </si>
  <si>
    <t>01. Job booked to cell</t>
  </si>
  <si>
    <t>02. Initial build</t>
  </si>
  <si>
    <t>03. Initial build done</t>
  </si>
  <si>
    <t>04. RTV</t>
  </si>
  <si>
    <t>05. RTV done</t>
  </si>
  <si>
    <t>06. Powder potting</t>
  </si>
  <si>
    <t>07. Powder potting done</t>
  </si>
  <si>
    <t>08. Stycast</t>
  </si>
  <si>
    <t>09. Stycast done</t>
  </si>
  <si>
    <t>Out by</t>
  </si>
  <si>
    <t>RTV (in)</t>
  </si>
  <si>
    <t>% done</t>
  </si>
  <si>
    <t>Cumulative</t>
  </si>
  <si>
    <t>Hours.Minutes (decimal)</t>
  </si>
  <si>
    <t>Adjusted</t>
  </si>
  <si>
    <t>14. ATP - rig test</t>
  </si>
  <si>
    <t>15. ATP - rig test done</t>
  </si>
  <si>
    <t>16. ATP - finalizing</t>
  </si>
  <si>
    <t>17. ATP - finalizing done</t>
  </si>
  <si>
    <t>19. Despatch</t>
  </si>
  <si>
    <t>20. Out</t>
  </si>
  <si>
    <t>20. Fail</t>
  </si>
  <si>
    <t>How to use this workbook</t>
  </si>
  <si>
    <t>Job number</t>
  </si>
  <si>
    <t>Explanation</t>
  </si>
  <si>
    <t>Number of units per job</t>
  </si>
  <si>
    <t>How far job has progressed</t>
  </si>
  <si>
    <t>Stages do (loosely) follow build process sheet</t>
  </si>
  <si>
    <t>Progress in percent</t>
  </si>
  <si>
    <t>Expected output date</t>
  </si>
  <si>
    <t>Number of units for output</t>
  </si>
  <si>
    <t>Yes / No</t>
  </si>
  <si>
    <t>Short of</t>
  </si>
  <si>
    <t>Yellow background indicates important columns</t>
  </si>
  <si>
    <t>Description</t>
  </si>
  <si>
    <t>Fail reason</t>
  </si>
  <si>
    <t>Output month</t>
  </si>
  <si>
    <t>October</t>
  </si>
  <si>
    <t>November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</si>
  <si>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</si>
  <si>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</si>
  <si>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</si>
  <si>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</si>
  <si>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</si>
  <si>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</si>
  <si>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</si>
  <si>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</si>
  <si>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</si>
  <si>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December</t>
  </si>
  <si>
    <t>Output months</t>
  </si>
  <si>
    <t>18. Final inspection</t>
  </si>
  <si>
    <t>Shortage filled</t>
  </si>
  <si>
    <t>Time [% of sum]</t>
  </si>
  <si>
    <t xml:space="preserve"> </t>
  </si>
  <si>
    <t>Month plan</t>
  </si>
  <si>
    <t>Assembled</t>
  </si>
  <si>
    <t>White board - Work in progress D46814</t>
  </si>
  <si>
    <t>Output month no</t>
  </si>
  <si>
    <t>Year</t>
  </si>
  <si>
    <t>Operator</t>
  </si>
  <si>
    <t>Dean</t>
  </si>
  <si>
    <t>Martin</t>
  </si>
  <si>
    <t>Manager / Planner review</t>
  </si>
  <si>
    <t>Vincent</t>
  </si>
  <si>
    <t>In stock (month begins)</t>
  </si>
  <si>
    <t>Relevant to</t>
  </si>
  <si>
    <t>Date job arrived</t>
  </si>
  <si>
    <t>Are there shortages</t>
  </si>
  <si>
    <t>List of part and quantity of each short</t>
  </si>
  <si>
    <t>ALT + Enter adds new line, when shortage filled add "- ok"</t>
  </si>
  <si>
    <t>Date shortage filled</t>
  </si>
  <si>
    <t>Add date for each item (part)</t>
  </si>
  <si>
    <t>Name of the opeator</t>
  </si>
  <si>
    <t>Pick name from the list. If missing add it to the list "Operators" on "List" sheet.</t>
  </si>
  <si>
    <t>Presently it is Friday. Eswtimated or agreed date of despatch.</t>
  </si>
  <si>
    <t>Most likely number of units for despatch. When scrap lower the number.</t>
  </si>
  <si>
    <t>Number of units scrap with reason</t>
  </si>
  <si>
    <t>For each unit scrap give reason.</t>
  </si>
  <si>
    <t>RTV</t>
  </si>
  <si>
    <t>Date and time to track RTV cure</t>
  </si>
  <si>
    <t>48 hour minimum cure.</t>
  </si>
  <si>
    <t>All</t>
  </si>
  <si>
    <t>Note and or message</t>
  </si>
  <si>
    <t>In stock</t>
  </si>
  <si>
    <t>Planed month for output</t>
  </si>
  <si>
    <t>Planed year for output</t>
  </si>
  <si>
    <t>Other calculated fields depend on this column</t>
  </si>
  <si>
    <t>In stock in the beginning of the month</t>
  </si>
  <si>
    <t>Planed number of units for output</t>
  </si>
  <si>
    <t>Planing manager, planers, team leader</t>
  </si>
  <si>
    <t>Units assembled</t>
  </si>
  <si>
    <t>Units still needed to be assembled</t>
  </si>
  <si>
    <t>Columns description</t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</si>
  <si>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It includes prediction (most likely assembled). 
</t>
    </r>
    <r>
      <rPr>
        <i/>
        <sz val="11"/>
        <color theme="1"/>
        <rFont val="Calibri"/>
        <family val="2"/>
        <scheme val="minor"/>
      </rPr>
      <t>Formula: Summary of "Out qty"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</si>
  <si>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</t>
    </r>
    <r>
      <rPr>
        <i/>
        <sz val="11"/>
        <color theme="1"/>
        <rFont val="Calibri"/>
        <family val="2"/>
        <scheme val="minor"/>
      </rPr>
      <t>Formula: Month plan - In stock - Assembled</t>
    </r>
  </si>
  <si>
    <t>Calculated field.</t>
  </si>
  <si>
    <t>Column</t>
  </si>
  <si>
    <t>Operator only</t>
  </si>
  <si>
    <t>Calculations:</t>
  </si>
  <si>
    <t>Job number: stays visible when moving from column to column.</t>
  </si>
  <si>
    <t>Section "In stock, Month plan, Output month, Year" are ment for Manager / Planner to maintain. Section is marked in its header to highlight it.</t>
  </si>
  <si>
    <t>It will add new record to the table with all relevant drop-down lists, calculations and formating.</t>
  </si>
  <si>
    <t>See Columns description sheet for more.</t>
  </si>
  <si>
    <t>Drop-down lists:</t>
  </si>
  <si>
    <t>In top left corner press on "Last record" button. It will move cursor to the last existing row. Top row with columns header stays visible.</t>
  </si>
  <si>
    <r>
      <rPr>
        <i/>
        <sz val="16"/>
        <color theme="0"/>
        <rFont val="Calibri"/>
        <family val="2"/>
        <scheme val="minor"/>
      </rPr>
      <t>Read</t>
    </r>
    <r>
      <rPr>
        <i/>
        <sz val="16"/>
        <color theme="7"/>
        <rFont val="Calibri"/>
        <family val="2"/>
        <scheme val="minor"/>
      </rPr>
      <t xml:space="preserve"> </t>
    </r>
    <r>
      <rPr>
        <i/>
        <sz val="20"/>
        <color theme="7"/>
        <rFont val="Calibri"/>
        <family val="2"/>
        <scheme val="minor"/>
      </rPr>
      <t>'</t>
    </r>
    <r>
      <rPr>
        <b/>
        <i/>
        <sz val="20"/>
        <color theme="7"/>
        <rFont val="Calibri"/>
        <family val="2"/>
        <scheme val="minor"/>
      </rPr>
      <t>How to use'</t>
    </r>
    <r>
      <rPr>
        <i/>
        <sz val="16"/>
        <color theme="0"/>
        <rFont val="Calibri"/>
        <family val="2"/>
        <scheme val="minor"/>
      </rPr>
      <t xml:space="preserve"> first</t>
    </r>
  </si>
  <si>
    <t>Manager / planner to fill in</t>
  </si>
  <si>
    <t>JSC6333</t>
  </si>
  <si>
    <t>JSC6445</t>
  </si>
  <si>
    <t>bodies x8
shaft x16
windings x6</t>
  </si>
  <si>
    <t>bodies x3
bodies x5
winding x1</t>
  </si>
  <si>
    <t>JSC6533</t>
  </si>
  <si>
    <t>05/12/2018
07/12/2018
10/12/2018</t>
  </si>
  <si>
    <t>bodies x8
windings x8
shafts x5
shafts x11</t>
  </si>
  <si>
    <t>03/12/2018
05/12/2018
10/12/2018</t>
  </si>
  <si>
    <t>05/12/2018
10/12/2018
07/12/2018
17/12/2018</t>
  </si>
  <si>
    <t>JSC6761</t>
  </si>
  <si>
    <t>JSC6762</t>
  </si>
  <si>
    <t>sleeve</t>
  </si>
  <si>
    <t>JSC6784</t>
  </si>
  <si>
    <t>body x8
shaft x5
winding x8</t>
  </si>
  <si>
    <t>JSC6785</t>
  </si>
  <si>
    <t>despatch moved to next year
1 pair of windings moved to jsc6254
welding skipped - done</t>
  </si>
  <si>
    <t>heatcycle first after New year</t>
  </si>
  <si>
    <t>Other calculated fields depend on this column
Fill 1st row (job) of the month, leave other (darker fill) rows blank</t>
  </si>
  <si>
    <t>Still required</t>
  </si>
  <si>
    <t>Help</t>
  </si>
  <si>
    <t>In the following row type in job number.
It can be blank character or just a word or words like "new job".</t>
  </si>
  <si>
    <t>Section "% done, Operator, Out by, Out qty" are segregated with thick vertical line with header "Manager / Planner review".
It is to be managed by operator. Date can be negotiated when possible.</t>
  </si>
  <si>
    <t>Required</t>
  </si>
  <si>
    <r>
      <t xml:space="preserve">Formating:
</t>
    </r>
    <r>
      <rPr>
        <i/>
        <sz val="11"/>
        <color theme="1"/>
        <rFont val="Calibri"/>
        <family val="2"/>
        <scheme val="minor"/>
      </rPr>
      <t>Job number</t>
    </r>
    <r>
      <rPr>
        <sz val="11"/>
        <color theme="1"/>
        <rFont val="Calibri"/>
        <family val="2"/>
        <scheme val="minor"/>
      </rPr>
      <t xml:space="preserve">: inherits background colour from Output month background colour.
</t>
    </r>
    <r>
      <rPr>
        <i/>
        <sz val="11"/>
        <color theme="1"/>
        <rFont val="Calibri"/>
        <family val="2"/>
        <scheme val="minor"/>
      </rPr>
      <t>% done</t>
    </r>
    <r>
      <rPr>
        <sz val="11"/>
        <color theme="1"/>
        <rFont val="Calibri"/>
        <family val="2"/>
        <scheme val="minor"/>
      </rPr>
      <t xml:space="preserve">: changes colour from brown to green as it nears completion.
</t>
    </r>
    <r>
      <rPr>
        <i/>
        <sz val="11"/>
        <color theme="1"/>
        <rFont val="Calibri"/>
        <family val="2"/>
        <scheme val="minor"/>
      </rPr>
      <t>Output month</t>
    </r>
    <r>
      <rPr>
        <sz val="11"/>
        <color theme="1"/>
        <rFont val="Calibri"/>
        <family val="2"/>
        <scheme val="minor"/>
      </rPr>
      <t>: change background colour between blue and green and foreground changes colour between white and black.</t>
    </r>
  </si>
  <si>
    <t>After a new record is added table will be formatted to 4 sections.</t>
  </si>
  <si>
    <t>All other columns with no group / section header are in forth section.</t>
  </si>
  <si>
    <t>Summary trigger stage number</t>
  </si>
  <si>
    <t>sleeve
body x5
winding x4+x2 (dekited and moved to jsc6762)</t>
  </si>
  <si>
    <t>winding x4
winding x4
cable support x8
shaft x16
body x8</t>
  </si>
  <si>
    <t xml:space="preserve">18/12/2108
03/01/2019
04/01/2019
</t>
  </si>
  <si>
    <t>shafts x16</t>
  </si>
  <si>
    <t>03/01/2019
07/01/2019
04/01/2019</t>
  </si>
  <si>
    <t>04/01/2019
04/01/2019
20/12/2018
07/01/2109
03/01/2019</t>
  </si>
  <si>
    <t>shafts x16
bodies x5
tab washer x1</t>
  </si>
  <si>
    <t>JSC6816</t>
  </si>
  <si>
    <t>07/07/2019
09/01/2019
07/01/2019</t>
  </si>
  <si>
    <t>Month (Plan)</t>
  </si>
  <si>
    <t>Month (plan) Quantity</t>
  </si>
  <si>
    <t>Year (Plan)</t>
  </si>
  <si>
    <t>Month number (Plan)</t>
  </si>
  <si>
    <t>Late</t>
  </si>
  <si>
    <t>Expected</t>
  </si>
  <si>
    <t>Index</t>
  </si>
  <si>
    <t>Fail</t>
  </si>
  <si>
    <t>JSC6815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</si>
</sst>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20"/>
      <color theme="0"/>
      <name val="Calibri"/>
      <family val="2"/>
      <scheme val="minor"/>
    </font>
    <font>
      <i/>
      <sz val="20"/>
      <color theme="7"/>
      <name val="Calibri"/>
      <family val="2"/>
      <scheme val="minor"/>
    </font>
    <font>
      <b/>
      <i/>
      <sz val="20"/>
      <color theme="7"/>
      <name val="Calibri"/>
      <family val="2"/>
      <scheme val="minor"/>
    </font>
    <font>
      <i/>
      <sz val="16"/>
      <color theme="0"/>
      <name val="Calibri"/>
      <family val="2"/>
      <scheme val="minor"/>
    </font>
    <font>
      <i/>
      <sz val="16"/>
      <color theme="7"/>
      <name val="Calibri"/>
      <family val="2"/>
      <scheme val="minor"/>
    </font>
    <font>
      <sz val="18"/>
      <color theme="5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5117038483843"/>
      </patternFill>
    </fill>
    <fill>
      <patternFill patternType="solid">
        <fgColor theme="4" tint="0.79998168889431442"/>
        <bgColor indexed="65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4"/>
      </bottom>
      <diagonal/>
    </border>
  </borders>
  <cellStyleXfs count="7">
    <xf numFmtId="0" fontId="0" fillId="0" borderId="0"/>
    <xf numFmtId="9" fontId="7" fillId="0" borderId="0" applyFont="0" applyFill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7" fillId="8" borderId="0" applyNumberFormat="0" applyBorder="0" applyAlignment="0" applyProtection="0"/>
    <xf numFmtId="0" fontId="26" fillId="0" borderId="0" applyNumberFormat="0" applyFill="0" applyBorder="0" applyAlignment="0" applyProtection="0"/>
    <xf numFmtId="0" fontId="7" fillId="11" borderId="0" applyNumberFormat="0" applyBorder="0" applyAlignment="0" applyProtection="0"/>
  </cellStyleXfs>
  <cellXfs count="14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0" xfId="0" applyNumberFormat="1" applyBorder="1"/>
    <xf numFmtId="0" fontId="0" fillId="0" borderId="5" xfId="0" applyBorder="1"/>
    <xf numFmtId="2" fontId="0" fillId="0" borderId="6" xfId="0" applyNumberForma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0" xfId="0" applyBorder="1"/>
    <xf numFmtId="10" fontId="0" fillId="0" borderId="0" xfId="1" applyNumberFormat="1" applyFont="1" applyBorder="1"/>
    <xf numFmtId="10" fontId="0" fillId="0" borderId="1" xfId="1" applyNumberFormat="1" applyFont="1" applyBorder="1"/>
    <xf numFmtId="0" fontId="0" fillId="0" borderId="8" xfId="0" applyBorder="1"/>
    <xf numFmtId="10" fontId="0" fillId="0" borderId="6" xfId="0" applyNumberFormat="1" applyBorder="1"/>
    <xf numFmtId="10" fontId="8" fillId="0" borderId="0" xfId="1" applyNumberFormat="1" applyFont="1" applyBorder="1"/>
    <xf numFmtId="2" fontId="7" fillId="0" borderId="0" xfId="1" applyNumberFormat="1" applyFont="1" applyBorder="1"/>
    <xf numFmtId="0" fontId="7" fillId="0" borderId="0" xfId="1" applyNumberFormat="1" applyFont="1" applyBorder="1"/>
    <xf numFmtId="10" fontId="0" fillId="0" borderId="6" xfId="1" applyNumberFormat="1" applyFont="1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13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Fill="1" applyBorder="1"/>
    <xf numFmtId="0" fontId="0" fillId="0" borderId="0" xfId="0" applyFill="1" applyBorder="1"/>
    <xf numFmtId="0" fontId="9" fillId="0" borderId="0" xfId="0" applyFont="1" applyFill="1" applyBorder="1" applyAlignment="1">
      <alignment horizontal="left"/>
    </xf>
    <xf numFmtId="0" fontId="0" fillId="0" borderId="15" xfId="0" applyBorder="1"/>
    <xf numFmtId="0" fontId="0" fillId="0" borderId="0" xfId="0" applyFill="1"/>
    <xf numFmtId="0" fontId="12" fillId="0" borderId="0" xfId="0" applyFont="1" applyBorder="1"/>
    <xf numFmtId="0" fontId="0" fillId="0" borderId="0" xfId="1" applyNumberFormat="1" applyFont="1" applyBorder="1"/>
    <xf numFmtId="0" fontId="8" fillId="0" borderId="2" xfId="0" applyFont="1" applyBorder="1"/>
    <xf numFmtId="0" fontId="8" fillId="0" borderId="4" xfId="0" applyFont="1" applyBorder="1"/>
    <xf numFmtId="14" fontId="0" fillId="0" borderId="0" xfId="0" applyNumberFormat="1" applyFill="1"/>
    <xf numFmtId="0" fontId="0" fillId="0" borderId="0" xfId="0" applyFill="1" applyAlignment="1">
      <alignment wrapText="1"/>
    </xf>
    <xf numFmtId="22" fontId="0" fillId="0" borderId="0" xfId="0" applyNumberFormat="1" applyFill="1"/>
    <xf numFmtId="0" fontId="2" fillId="0" borderId="0" xfId="0" applyFont="1" applyAlignment="1">
      <alignment wrapText="1"/>
    </xf>
    <xf numFmtId="0" fontId="0" fillId="5" borderId="21" xfId="0" applyFont="1" applyFill="1" applyBorder="1"/>
    <xf numFmtId="0" fontId="13" fillId="6" borderId="0" xfId="2"/>
    <xf numFmtId="0" fontId="0" fillId="0" borderId="0" xfId="0" applyNumberFormat="1" applyFill="1"/>
    <xf numFmtId="0" fontId="2" fillId="0" borderId="2" xfId="0" applyFont="1" applyBorder="1"/>
    <xf numFmtId="0" fontId="0" fillId="0" borderId="3" xfId="0" applyFill="1" applyBorder="1"/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0" xfId="0" applyFont="1" applyBorder="1"/>
    <xf numFmtId="0" fontId="2" fillId="0" borderId="3" xfId="0" applyFont="1" applyBorder="1"/>
    <xf numFmtId="0" fontId="8" fillId="0" borderId="22" xfId="0" applyFont="1" applyFill="1" applyBorder="1"/>
    <xf numFmtId="10" fontId="8" fillId="0" borderId="3" xfId="1" applyNumberFormat="1" applyFont="1" applyBorder="1"/>
    <xf numFmtId="10" fontId="8" fillId="0" borderId="10" xfId="1" applyNumberFormat="1" applyFont="1" applyBorder="1"/>
    <xf numFmtId="0" fontId="8" fillId="5" borderId="21" xfId="0" applyFont="1" applyFill="1" applyBorder="1"/>
    <xf numFmtId="0" fontId="15" fillId="6" borderId="0" xfId="2" applyFont="1"/>
    <xf numFmtId="9" fontId="8" fillId="0" borderId="2" xfId="0" applyNumberFormat="1" applyFont="1" applyFill="1" applyBorder="1"/>
    <xf numFmtId="0" fontId="8" fillId="0" borderId="3" xfId="0" applyFont="1" applyBorder="1"/>
    <xf numFmtId="0" fontId="0" fillId="0" borderId="27" xfId="0" applyBorder="1"/>
    <xf numFmtId="0" fontId="6" fillId="0" borderId="0" xfId="0" applyFont="1" applyFill="1"/>
    <xf numFmtId="9" fontId="8" fillId="0" borderId="0" xfId="0" applyNumberFormat="1" applyFont="1" applyFill="1"/>
    <xf numFmtId="14" fontId="8" fillId="0" borderId="0" xfId="0" applyNumberFormat="1" applyFont="1"/>
    <xf numFmtId="14" fontId="0" fillId="0" borderId="0" xfId="0" applyNumberFormat="1" applyFill="1" applyAlignment="1">
      <alignment horizontal="right" wrapText="1"/>
    </xf>
    <xf numFmtId="0" fontId="9" fillId="0" borderId="0" xfId="0" applyFont="1" applyFill="1" applyBorder="1" applyAlignment="1">
      <alignment horizontal="left"/>
    </xf>
    <xf numFmtId="0" fontId="0" fillId="0" borderId="28" xfId="0" applyBorder="1"/>
    <xf numFmtId="0" fontId="0" fillId="0" borderId="31" xfId="0" applyBorder="1"/>
    <xf numFmtId="0" fontId="0" fillId="0" borderId="32" xfId="0" applyBorder="1"/>
    <xf numFmtId="0" fontId="0" fillId="0" borderId="30" xfId="0" applyBorder="1"/>
    <xf numFmtId="0" fontId="0" fillId="0" borderId="31" xfId="0" applyBorder="1" applyAlignment="1">
      <alignment wrapText="1"/>
    </xf>
    <xf numFmtId="0" fontId="0" fillId="3" borderId="33" xfId="0" applyFill="1" applyBorder="1"/>
    <xf numFmtId="0" fontId="0" fillId="3" borderId="34" xfId="0" applyFill="1" applyBorder="1"/>
    <xf numFmtId="0" fontId="0" fillId="3" borderId="12" xfId="0" applyFill="1" applyBorder="1"/>
    <xf numFmtId="0" fontId="0" fillId="3" borderId="18" xfId="0" applyFill="1" applyBorder="1"/>
    <xf numFmtId="0" fontId="0" fillId="3" borderId="35" xfId="0" applyFill="1" applyBorder="1"/>
    <xf numFmtId="0" fontId="0" fillId="3" borderId="10" xfId="0" applyFill="1" applyBorder="1"/>
    <xf numFmtId="0" fontId="2" fillId="0" borderId="36" xfId="0" applyFont="1" applyBorder="1"/>
    <xf numFmtId="0" fontId="2" fillId="0" borderId="37" xfId="0" applyFont="1" applyBorder="1"/>
    <xf numFmtId="0" fontId="2" fillId="0" borderId="38" xfId="0" applyFont="1" applyBorder="1"/>
    <xf numFmtId="0" fontId="0" fillId="3" borderId="39" xfId="0" applyFill="1" applyBorder="1"/>
    <xf numFmtId="0" fontId="8" fillId="0" borderId="28" xfId="0" applyFont="1" applyBorder="1"/>
    <xf numFmtId="0" fontId="12" fillId="0" borderId="31" xfId="0" applyFont="1" applyBorder="1"/>
    <xf numFmtId="0" fontId="12" fillId="0" borderId="29" xfId="0" applyFont="1" applyBorder="1"/>
    <xf numFmtId="0" fontId="11" fillId="2" borderId="1" xfId="0" applyFont="1" applyFill="1" applyBorder="1" applyAlignment="1"/>
    <xf numFmtId="0" fontId="17" fillId="2" borderId="1" xfId="0" applyFont="1" applyFill="1" applyBorder="1" applyAlignment="1"/>
    <xf numFmtId="0" fontId="0" fillId="0" borderId="3" xfId="0" applyBorder="1"/>
    <xf numFmtId="0" fontId="0" fillId="0" borderId="24" xfId="0" applyBorder="1"/>
    <xf numFmtId="0" fontId="0" fillId="0" borderId="26" xfId="0" applyBorder="1"/>
    <xf numFmtId="0" fontId="0" fillId="0" borderId="4" xfId="0" applyBorder="1"/>
    <xf numFmtId="0" fontId="0" fillId="0" borderId="10" xfId="0" applyBorder="1"/>
    <xf numFmtId="0" fontId="7" fillId="8" borderId="4" xfId="4" applyBorder="1"/>
    <xf numFmtId="0" fontId="7" fillId="8" borderId="10" xfId="4" applyBorder="1"/>
    <xf numFmtId="0" fontId="7" fillId="8" borderId="24" xfId="4" applyBorder="1"/>
    <xf numFmtId="0" fontId="7" fillId="8" borderId="26" xfId="4" applyBorder="1"/>
    <xf numFmtId="0" fontId="7" fillId="8" borderId="2" xfId="4" applyBorder="1"/>
    <xf numFmtId="0" fontId="23" fillId="0" borderId="0" xfId="0" applyFont="1" applyFill="1"/>
    <xf numFmtId="0" fontId="24" fillId="0" borderId="0" xfId="0" applyFont="1" applyFill="1"/>
    <xf numFmtId="0" fontId="25" fillId="0" borderId="0" xfId="0" applyFont="1" applyFill="1"/>
    <xf numFmtId="0" fontId="0" fillId="0" borderId="0" xfId="0" applyFill="1" applyAlignment="1">
      <alignment horizontal="right" wrapText="1"/>
    </xf>
    <xf numFmtId="0" fontId="12" fillId="0" borderId="31" xfId="0" applyFont="1" applyBorder="1" applyAlignment="1">
      <alignment wrapText="1"/>
    </xf>
    <xf numFmtId="0" fontId="27" fillId="2" borderId="1" xfId="5" applyFont="1" applyFill="1" applyBorder="1" applyAlignment="1">
      <alignment horizontal="center"/>
    </xf>
    <xf numFmtId="0" fontId="0" fillId="8" borderId="3" xfId="4" applyFont="1" applyBorder="1"/>
    <xf numFmtId="0" fontId="7" fillId="11" borderId="0" xfId="6"/>
    <xf numFmtId="0" fontId="8" fillId="0" borderId="0" xfId="0" applyFont="1" applyBorder="1"/>
    <xf numFmtId="0" fontId="29" fillId="0" borderId="0" xfId="0" applyFont="1" applyAlignment="1">
      <alignment wrapText="1"/>
    </xf>
    <xf numFmtId="0" fontId="0" fillId="0" borderId="3" xfId="0" applyFill="1" applyBorder="1" applyAlignment="1">
      <alignment wrapText="1"/>
    </xf>
    <xf numFmtId="0" fontId="8" fillId="0" borderId="3" xfId="0" applyFont="1" applyFill="1" applyBorder="1"/>
    <xf numFmtId="0" fontId="0" fillId="0" borderId="0" xfId="0" applyNumberFormat="1"/>
    <xf numFmtId="0" fontId="0" fillId="4" borderId="46" xfId="0" applyFont="1" applyFill="1" applyBorder="1"/>
    <xf numFmtId="0" fontId="0" fillId="4" borderId="25" xfId="0" applyFont="1" applyFill="1" applyBorder="1"/>
    <xf numFmtId="0" fontId="14" fillId="4" borderId="23" xfId="0" applyFont="1" applyFill="1" applyBorder="1"/>
    <xf numFmtId="0" fontId="14" fillId="4" borderId="46" xfId="0" applyFont="1" applyFill="1" applyBorder="1" applyAlignment="1"/>
    <xf numFmtId="0" fontId="14" fillId="4" borderId="46" xfId="0" applyFont="1" applyFill="1" applyBorder="1"/>
    <xf numFmtId="0" fontId="22" fillId="10" borderId="2" xfId="0" applyFont="1" applyFill="1" applyBorder="1" applyAlignment="1">
      <alignment horizontal="center" vertical="center" wrapText="1"/>
    </xf>
    <xf numFmtId="0" fontId="22" fillId="10" borderId="0" xfId="0" applyFont="1" applyFill="1" applyBorder="1" applyAlignment="1">
      <alignment horizontal="center" vertical="center" wrapText="1"/>
    </xf>
    <xf numFmtId="0" fontId="22" fillId="10" borderId="3" xfId="0" applyFont="1" applyFill="1" applyBorder="1" applyAlignment="1">
      <alignment horizontal="center" vertical="center" wrapText="1"/>
    </xf>
    <xf numFmtId="0" fontId="22" fillId="9" borderId="25" xfId="0" applyFont="1" applyFill="1" applyBorder="1" applyAlignment="1">
      <alignment horizontal="center" vertical="center"/>
    </xf>
    <xf numFmtId="0" fontId="0" fillId="8" borderId="43" xfId="4" applyFont="1" applyBorder="1" applyAlignment="1">
      <alignment horizontal="left"/>
    </xf>
    <xf numFmtId="0" fontId="7" fillId="8" borderId="34" xfId="4" applyBorder="1" applyAlignment="1">
      <alignment horizontal="left"/>
    </xf>
    <xf numFmtId="0" fontId="16" fillId="0" borderId="5" xfId="0" applyFont="1" applyBorder="1"/>
    <xf numFmtId="0" fontId="16" fillId="0" borderId="11" xfId="0" applyFont="1" applyBorder="1"/>
    <xf numFmtId="0" fontId="0" fillId="8" borderId="4" xfId="4" applyFont="1" applyBorder="1" applyAlignment="1">
      <alignment horizontal="left" wrapText="1"/>
    </xf>
    <xf numFmtId="0" fontId="7" fillId="8" borderId="10" xfId="4" applyBorder="1" applyAlignment="1">
      <alignment horizontal="left" wrapText="1"/>
    </xf>
    <xf numFmtId="0" fontId="10" fillId="7" borderId="19" xfId="3" applyFont="1" applyBorder="1" applyAlignment="1">
      <alignment horizontal="center"/>
    </xf>
    <xf numFmtId="0" fontId="10" fillId="7" borderId="20" xfId="3" applyFont="1" applyBorder="1" applyAlignment="1">
      <alignment horizontal="center"/>
    </xf>
    <xf numFmtId="0" fontId="0" fillId="8" borderId="43" xfId="4" applyFont="1" applyBorder="1" applyAlignment="1">
      <alignment horizontal="left" wrapText="1"/>
    </xf>
    <xf numFmtId="0" fontId="7" fillId="8" borderId="34" xfId="4" applyBorder="1" applyAlignment="1">
      <alignment horizontal="left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8" borderId="44" xfId="4" applyFont="1" applyBorder="1" applyAlignment="1">
      <alignment horizontal="left" wrapText="1"/>
    </xf>
    <xf numFmtId="0" fontId="7" fillId="8" borderId="45" xfId="4" applyBorder="1" applyAlignment="1">
      <alignment horizontal="left" wrapText="1"/>
    </xf>
    <xf numFmtId="0" fontId="0" fillId="0" borderId="43" xfId="0" applyBorder="1" applyAlignment="1">
      <alignment horizontal="left" wrapText="1"/>
    </xf>
    <xf numFmtId="0" fontId="0" fillId="0" borderId="34" xfId="0" applyBorder="1" applyAlignment="1">
      <alignment horizontal="left" wrapText="1"/>
    </xf>
    <xf numFmtId="0" fontId="0" fillId="0" borderId="43" xfId="0" applyBorder="1" applyAlignment="1">
      <alignment horizontal="left"/>
    </xf>
    <xf numFmtId="0" fontId="0" fillId="0" borderId="34" xfId="0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28" fillId="6" borderId="40" xfId="2" applyFont="1" applyBorder="1" applyAlignment="1">
      <alignment horizontal="center"/>
    </xf>
    <xf numFmtId="0" fontId="28" fillId="6" borderId="41" xfId="2" applyFont="1" applyBorder="1" applyAlignment="1">
      <alignment horizontal="center"/>
    </xf>
    <xf numFmtId="0" fontId="28" fillId="6" borderId="42" xfId="2" applyFont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8" fillId="0" borderId="0" xfId="0" applyFont="1"/>
  </cellXfs>
  <cellStyles count="7">
    <cellStyle name="20% - Accent1" xfId="6" builtinId="30"/>
    <cellStyle name="20% - Accent3" xfId="4" builtinId="38"/>
    <cellStyle name="Accent1" xfId="3" builtinId="29"/>
    <cellStyle name="Accent5" xfId="2" builtinId="45"/>
    <cellStyle name="Hyperlink" xfId="5" builtinId="8"/>
    <cellStyle name="Normal" xfId="0" builtinId="0"/>
    <cellStyle name="Percent" xfId="1" builtinId="5"/>
  </cellStyles>
  <dxfs count="191">
    <dxf>
      <numFmt numFmtId="0" formatCode="General"/>
    </dxf>
    <dxf>
      <numFmt numFmtId="0" formatCode="General"/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rgb="FFFF0000"/>
      </font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</font>
    </dxf>
    <dxf>
      <font>
        <b/>
      </font>
      <numFmt numFmtId="13" formatCode="0%"/>
      <fill>
        <patternFill patternType="none">
          <fgColor indexed="64"/>
          <bgColor indexed="65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Flattened Pivot Style" table="0" count="3" xr9:uid="{00000000-0011-0000-FFFF-FFFF00000000}">
      <tableStyleElement type="headerRow" dxfId="190"/>
      <tableStyleElement type="totalRow" dxfId="189"/>
      <tableStyleElement type="secondRowStripe" dxfId="188"/>
    </tableStyle>
  </tableStyles>
  <colors>
    <mruColors>
      <color rgb="FFFAC8D2"/>
      <color rgb="FFFEB2B0"/>
      <color rgb="FFFCC1C0"/>
      <color rgb="FFFFCC66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9" Type="http://schemas.openxmlformats.org/officeDocument/2006/relationships/customXml" Target="../customXml/item28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42" Type="http://schemas.openxmlformats.org/officeDocument/2006/relationships/customXml" Target="../customXml/item31.xml"/><Relationship Id="rId47" Type="http://schemas.openxmlformats.org/officeDocument/2006/relationships/customXml" Target="../customXml/item36.xml"/><Relationship Id="rId50" Type="http://schemas.openxmlformats.org/officeDocument/2006/relationships/customXml" Target="../customXml/item39.xml"/><Relationship Id="rId55" Type="http://schemas.openxmlformats.org/officeDocument/2006/relationships/customXml" Target="../customXml/item44.xml"/><Relationship Id="rId63" Type="http://schemas.openxmlformats.org/officeDocument/2006/relationships/customXml" Target="../customXml/item52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9" Type="http://schemas.openxmlformats.org/officeDocument/2006/relationships/customXml" Target="../customXml/item18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40" Type="http://schemas.openxmlformats.org/officeDocument/2006/relationships/customXml" Target="../customXml/item29.xml"/><Relationship Id="rId45" Type="http://schemas.openxmlformats.org/officeDocument/2006/relationships/customXml" Target="../customXml/item34.xml"/><Relationship Id="rId53" Type="http://schemas.openxmlformats.org/officeDocument/2006/relationships/customXml" Target="../customXml/item42.xml"/><Relationship Id="rId58" Type="http://schemas.openxmlformats.org/officeDocument/2006/relationships/customXml" Target="../customXml/item4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50.xml"/><Relationship Id="rId19" Type="http://schemas.openxmlformats.org/officeDocument/2006/relationships/customXml" Target="../customXml/item8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43" Type="http://schemas.openxmlformats.org/officeDocument/2006/relationships/customXml" Target="../customXml/item32.xml"/><Relationship Id="rId48" Type="http://schemas.openxmlformats.org/officeDocument/2006/relationships/customXml" Target="../customXml/item37.xml"/><Relationship Id="rId56" Type="http://schemas.openxmlformats.org/officeDocument/2006/relationships/customXml" Target="../customXml/item45.xml"/><Relationship Id="rId64" Type="http://schemas.microsoft.com/office/2006/relationships/vbaProject" Target="vbaProject.bin"/><Relationship Id="rId8" Type="http://schemas.openxmlformats.org/officeDocument/2006/relationships/styles" Target="styles.xml"/><Relationship Id="rId51" Type="http://schemas.openxmlformats.org/officeDocument/2006/relationships/customXml" Target="../customXml/item40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openxmlformats.org/officeDocument/2006/relationships/customXml" Target="../customXml/item27.xml"/><Relationship Id="rId46" Type="http://schemas.openxmlformats.org/officeDocument/2006/relationships/customXml" Target="../customXml/item35.xml"/><Relationship Id="rId59" Type="http://schemas.openxmlformats.org/officeDocument/2006/relationships/customXml" Target="../customXml/item48.xml"/><Relationship Id="rId20" Type="http://schemas.openxmlformats.org/officeDocument/2006/relationships/customXml" Target="../customXml/item9.xml"/><Relationship Id="rId41" Type="http://schemas.openxmlformats.org/officeDocument/2006/relationships/customXml" Target="../customXml/item30.xml"/><Relationship Id="rId54" Type="http://schemas.openxmlformats.org/officeDocument/2006/relationships/customXml" Target="../customXml/item43.xml"/><Relationship Id="rId62" Type="http://schemas.openxmlformats.org/officeDocument/2006/relationships/customXml" Target="../customXml/item5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49" Type="http://schemas.openxmlformats.org/officeDocument/2006/relationships/customXml" Target="../customXml/item38.xml"/><Relationship Id="rId57" Type="http://schemas.openxmlformats.org/officeDocument/2006/relationships/customXml" Target="../customXml/item46.xml"/><Relationship Id="rId10" Type="http://schemas.openxmlformats.org/officeDocument/2006/relationships/powerPivotData" Target="model/item.data"/><Relationship Id="rId31" Type="http://schemas.openxmlformats.org/officeDocument/2006/relationships/customXml" Target="../customXml/item20.xml"/><Relationship Id="rId44" Type="http://schemas.openxmlformats.org/officeDocument/2006/relationships/customXml" Target="../customXml/item33.xml"/><Relationship Id="rId52" Type="http://schemas.openxmlformats.org/officeDocument/2006/relationships/customXml" Target="../customXml/item41.xml"/><Relationship Id="rId60" Type="http://schemas.openxmlformats.org/officeDocument/2006/relationships/customXml" Target="../customXml/item4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</xdr:row>
          <xdr:rowOff>85725</xdr:rowOff>
        </xdr:from>
        <xdr:to>
          <xdr:col>6</xdr:col>
          <xdr:colOff>552450</xdr:colOff>
          <xdr:row>1</xdr:row>
          <xdr:rowOff>409575</xdr:rowOff>
        </xdr:to>
        <xdr:sp macro="" textlink="">
          <xdr:nvSpPr>
            <xdr:cNvPr id="2060" name="Button 12" descr="Go to first record.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F</a:t>
              </a: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irst recor</a:t>
              </a: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85725</xdr:rowOff>
        </xdr:from>
        <xdr:to>
          <xdr:col>6</xdr:col>
          <xdr:colOff>1647825</xdr:colOff>
          <xdr:row>1</xdr:row>
          <xdr:rowOff>409575</xdr:rowOff>
        </xdr:to>
        <xdr:sp macro="" textlink="">
          <xdr:nvSpPr>
            <xdr:cNvPr id="2063" name="Button 15" descr="Go to last record.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Last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CD3D43-A55B-49BC-A6A6-BAE46A32EE70}" autoFormatId="16" applyNumberFormats="0" applyBorderFormats="0" applyFontFormats="0" applyPatternFormats="0" applyAlignmentFormats="0" applyWidthHeightFormats="0">
  <queryTableRefresh nextId="14">
    <queryTableFields count="5">
      <queryTableField id="1" name="Index" tableColumnId="5"/>
      <queryTableField id="6" name="Job" tableColumnId="7"/>
      <queryTableField id="8" name="Batch" tableColumnId="8"/>
      <queryTableField id="9" name="Late" tableColumnId="9"/>
      <queryTableField id="10" name="Fail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Output_Table" displayName="Output_Table" ref="A3:T15" totalsRowShown="0" headerRowDxfId="187" dataDxfId="186">
  <autoFilter ref="A3:T15" xr:uid="{00000000-0009-0000-0100-000001000000}"/>
  <sortState ref="A4:S12">
    <sortCondition ref="S4:S12"/>
    <sortCondition ref="R4:R12" customList="January,February,March,April,May,June,July,August,September,October,November,December"/>
  </sortState>
  <tableColumns count="20">
    <tableColumn id="1" xr3:uid="{00000000-0010-0000-0000-000001000000}" name="Job" dataDxfId="185"/>
    <tableColumn id="7" xr3:uid="{00000000-0010-0000-0000-000007000000}" name="Booked in" dataDxfId="184"/>
    <tableColumn id="2" xr3:uid="{00000000-0010-0000-0000-000002000000}" name="Batch" dataDxfId="183"/>
    <tableColumn id="5" xr3:uid="{00000000-0010-0000-0000-000005000000}" name="Shortages" dataDxfId="182"/>
    <tableColumn id="9" xr3:uid="{00000000-0010-0000-0000-000009000000}" name="Short of…" dataDxfId="181"/>
    <tableColumn id="10" xr3:uid="{00000000-0010-0000-0000-00000A000000}" name="Shortage filled" dataDxfId="180"/>
    <tableColumn id="4" xr3:uid="{00000000-0010-0000-0000-000004000000}" name="Progress" dataDxfId="179"/>
    <tableColumn id="15" xr3:uid="{00000000-0010-0000-0000-00000F000000}" name="% done" dataDxfId="178">
      <calculatedColumnFormula>_xlfn.IFNA(VLOOKUP(Output_Table[[#This Row],[Progress]],ProgressCalculation_List,6,FALSE),"")</calculatedColumnFormula>
    </tableColumn>
    <tableColumn id="23" xr3:uid="{00000000-0010-0000-0000-000017000000}" name="Operator" dataDxfId="177"/>
    <tableColumn id="13" xr3:uid="{00000000-0010-0000-0000-00000D000000}" name="Expected" dataDxfId="176"/>
    <tableColumn id="16" xr3:uid="{CB37EC3C-E16E-41AD-8FD7-BD336A39B49A}" name="Late" dataDxfId="157"/>
    <tableColumn id="12" xr3:uid="{6F885B42-5B2B-447C-AEE5-E791F24EE301}" name="Fail" dataDxfId="127"/>
    <tableColumn id="14" xr3:uid="{00000000-0010-0000-0000-00000E000000}" name="Fail reason" dataDxfId="175"/>
    <tableColumn id="11" xr3:uid="{00000000-0010-0000-0000-00000B000000}" name="RTV (in)" dataDxfId="174"/>
    <tableColumn id="6" xr3:uid="{00000000-0010-0000-0000-000006000000}" name="Note" dataDxfId="173"/>
    <tableColumn id="17" xr3:uid="{00000000-0010-0000-0000-000011000000}" name="In stock (month begins)" dataDxfId="172"/>
    <tableColumn id="18" xr3:uid="{00000000-0010-0000-0000-000012000000}" name="Month (plan) Quantity" dataDxfId="171"/>
    <tableColumn id="3" xr3:uid="{00000000-0010-0000-0000-000003000000}" name="Month (Plan)" dataDxfId="170"/>
    <tableColumn id="19" xr3:uid="{00000000-0010-0000-0000-000013000000}" name="Year (Plan)" dataDxfId="169"/>
    <tableColumn id="21" xr3:uid="{4DD84EC6-A8DE-4BC0-8C1F-71CA380DBB4F}" name="Month number (Plan)" dataDxfId="168">
      <calculatedColumnFormula>MONTH(Output_Table[[#This Row],[Month (Plan)]]&amp;1)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DEC7D-4D45-469D-AF20-46D4F5A81B44}" name="qryCalculations" displayName="qryCalculations" ref="A1:E13" tableType="queryTable" totalsRowShown="0">
  <autoFilter ref="A1:E13" xr:uid="{B8340099-52A9-4E87-938F-593112A5FA1E}"/>
  <sortState ref="A2:E13">
    <sortCondition ref="B2:B13"/>
    <sortCondition ref="A2:A13"/>
  </sortState>
  <tableColumns count="5">
    <tableColumn id="5" xr3:uid="{2BEADE3D-8E54-4439-B155-CE206C390E37}" uniqueName="5" name="Index" queryTableFieldId="1" dataDxfId="1"/>
    <tableColumn id="7" xr3:uid="{FA0E43AA-DF28-4EBA-B14A-4513B20B0C5F}" uniqueName="7" name="Job" queryTableFieldId="6" dataDxfId="0"/>
    <tableColumn id="8" xr3:uid="{79A599AD-0995-4BD2-8EAE-37B7A3D08870}" uniqueName="8" name="Batch" queryTableFieldId="8"/>
    <tableColumn id="9" xr3:uid="{55C6D1BB-423F-49DB-9D4E-87D497D2EC6F}" uniqueName="9" name="Late" queryTableFieldId="9"/>
    <tableColumn id="10" xr3:uid="{7BA27B6D-F155-4FED-B3C0-293D4AEEFB40}" uniqueName="10" name="Fail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Operator_Table" displayName="Operator_Table" ref="H1:H5" totalsRowShown="0" headerRowDxfId="167" dataDxfId="166" tableBorderDxfId="165" dataCellStyle="Percent">
  <tableColumns count="1">
    <tableColumn id="1" xr3:uid="{00000000-0010-0000-0100-000001000000}" name="Operator" dataDxfId="164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Shortages_Table" displayName="Shortages_Table" ref="J1:J4" totalsRowShown="0" headerRowBorderDxfId="163" tableBorderDxfId="162">
  <tableColumns count="1">
    <tableColumn id="1" xr3:uid="{00000000-0010-0000-0200-000001000000}" name="Shortag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Years_Table" displayName="Years_Table" ref="J7:J12" totalsRowShown="0" dataDxfId="161" tableBorderDxfId="160">
  <tableColumns count="1">
    <tableColumn id="1" xr3:uid="{00000000-0010-0000-0300-000001000000}" name="Year" dataDxfId="1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OutupMonth_Table" displayName="OutupMonth_Table" ref="M1:N14" totalsRowShown="0" headerRowBorderDxfId="158" dataCellStyle="Accent5">
  <tableColumns count="2">
    <tableColumn id="1" xr3:uid="{00000000-0010-0000-0400-000001000000}" name="Output months" dataCellStyle="Accent5"/>
    <tableColumn id="2" xr3:uid="{00000000-0010-0000-0400-000002000000}" name="Output month no" dataCellStyle="Accent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Martin\AppData\Roaming\Microsoft\Excel\D46814%20-%20How%20to%20use.doc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88"/>
  <sheetViews>
    <sheetView zoomScale="80" zoomScaleNormal="80" zoomScaleSheetLayoutView="50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K15" sqref="K15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10.7109375" customWidth="1"/>
    <col min="4" max="4" width="16.7109375" bestFit="1" customWidth="1"/>
    <col min="5" max="5" width="34.7109375" customWidth="1"/>
    <col min="6" max="6" width="18.85546875" customWidth="1"/>
    <col min="7" max="7" width="25.140625" bestFit="1" customWidth="1"/>
    <col min="8" max="8" width="12.28515625" bestFit="1" customWidth="1"/>
    <col min="9" max="9" width="14.140625" bestFit="1" customWidth="1"/>
    <col min="10" max="10" width="13.42578125" customWidth="1"/>
    <col min="11" max="12" width="10.7109375" customWidth="1"/>
    <col min="13" max="13" width="27.85546875" bestFit="1" customWidth="1"/>
    <col min="14" max="14" width="17.140625" bestFit="1" customWidth="1"/>
    <col min="15" max="15" width="32.5703125" customWidth="1"/>
    <col min="16" max="16" width="11.7109375" customWidth="1"/>
    <col min="17" max="17" width="13.7109375" customWidth="1"/>
    <col min="18" max="19" width="10.7109375" customWidth="1"/>
    <col min="20" max="20" width="8.7109375" customWidth="1"/>
  </cols>
  <sheetData>
    <row r="1" spans="1:20" ht="36" x14ac:dyDescent="0.55000000000000004">
      <c r="A1" s="138" t="s">
        <v>71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99" t="s">
        <v>141</v>
      </c>
      <c r="P1" s="83" t="s">
        <v>120</v>
      </c>
      <c r="Q1" s="82"/>
      <c r="R1" s="82"/>
      <c r="S1" s="82"/>
    </row>
    <row r="2" spans="1:20" ht="44.25" customHeight="1" x14ac:dyDescent="0.4">
      <c r="A2" s="108"/>
      <c r="B2" s="107"/>
      <c r="C2" s="107"/>
      <c r="D2" s="107"/>
      <c r="E2" s="107"/>
      <c r="F2" s="107"/>
      <c r="G2" s="107"/>
      <c r="H2" s="115" t="s">
        <v>77</v>
      </c>
      <c r="I2" s="115"/>
      <c r="J2" s="115"/>
      <c r="K2" s="115"/>
      <c r="L2" s="115"/>
      <c r="M2" s="110"/>
      <c r="N2" s="111"/>
      <c r="O2" s="109"/>
      <c r="P2" s="112" t="s">
        <v>121</v>
      </c>
      <c r="Q2" s="113"/>
      <c r="R2" s="113"/>
      <c r="S2" s="114"/>
    </row>
    <row r="3" spans="1:20" ht="56.25" x14ac:dyDescent="0.3">
      <c r="A3" s="50" t="s">
        <v>7</v>
      </c>
      <c r="B3" s="2" t="s">
        <v>8</v>
      </c>
      <c r="C3" s="1" t="s">
        <v>1</v>
      </c>
      <c r="D3" s="1" t="s">
        <v>3</v>
      </c>
      <c r="E3" s="2" t="s">
        <v>10</v>
      </c>
      <c r="F3" s="40" t="s">
        <v>66</v>
      </c>
      <c r="G3" s="1" t="s">
        <v>2</v>
      </c>
      <c r="H3" s="44" t="s">
        <v>26</v>
      </c>
      <c r="I3" s="49" t="s">
        <v>74</v>
      </c>
      <c r="J3" s="49" t="s">
        <v>163</v>
      </c>
      <c r="K3" s="49" t="s">
        <v>162</v>
      </c>
      <c r="L3" s="50" t="s">
        <v>165</v>
      </c>
      <c r="M3" s="1" t="s">
        <v>50</v>
      </c>
      <c r="N3" s="1" t="s">
        <v>25</v>
      </c>
      <c r="O3" s="2" t="s">
        <v>6</v>
      </c>
      <c r="P3" s="46" t="s">
        <v>79</v>
      </c>
      <c r="Q3" s="47" t="s">
        <v>159</v>
      </c>
      <c r="R3" s="47" t="s">
        <v>158</v>
      </c>
      <c r="S3" s="48" t="s">
        <v>160</v>
      </c>
      <c r="T3" s="103" t="s">
        <v>161</v>
      </c>
    </row>
    <row r="4" spans="1:20" ht="15" customHeight="1" x14ac:dyDescent="0.25">
      <c r="A4" s="51" t="s">
        <v>122</v>
      </c>
      <c r="B4" s="37">
        <v>43431</v>
      </c>
      <c r="C4" s="32">
        <v>8</v>
      </c>
      <c r="D4" s="32" t="s">
        <v>5</v>
      </c>
      <c r="E4" s="38" t="s">
        <v>125</v>
      </c>
      <c r="F4" s="62" t="s">
        <v>129</v>
      </c>
      <c r="G4" s="32" t="s">
        <v>35</v>
      </c>
      <c r="H4" s="56">
        <f>_xlfn.IFNA(VLOOKUP(Output_Table[[#This Row],[Progress]],ProgressCalculation_List,6,FALSE),"")</f>
        <v>1.0000000000000002</v>
      </c>
      <c r="I4" s="60" t="s">
        <v>76</v>
      </c>
      <c r="J4" s="61">
        <v>43468</v>
      </c>
      <c r="K4" s="102"/>
      <c r="L4" s="57"/>
      <c r="M4" s="59"/>
      <c r="N4" s="39">
        <v>43444.645833333336</v>
      </c>
      <c r="O4" s="104" t="s">
        <v>137</v>
      </c>
      <c r="P4" s="43"/>
      <c r="Q4" s="43"/>
      <c r="R4" s="32" t="s">
        <v>54</v>
      </c>
      <c r="S4" s="45">
        <v>2019</v>
      </c>
      <c r="T4" s="43">
        <f>MONTH(Output_Table[[#This Row],[Month (Plan)]]&amp;1)</f>
        <v>1</v>
      </c>
    </row>
    <row r="5" spans="1:20" ht="15" customHeight="1" x14ac:dyDescent="0.25">
      <c r="A5" s="51" t="s">
        <v>123</v>
      </c>
      <c r="B5" s="37">
        <v>43437</v>
      </c>
      <c r="C5" s="32">
        <v>8</v>
      </c>
      <c r="D5" s="32" t="s">
        <v>4</v>
      </c>
      <c r="E5" s="38" t="s">
        <v>124</v>
      </c>
      <c r="F5" s="62" t="s">
        <v>127</v>
      </c>
      <c r="G5" s="32" t="s">
        <v>35</v>
      </c>
      <c r="H5" s="56">
        <f>_xlfn.IFNA(VLOOKUP(Output_Table[[#This Row],[Progress]],ProgressCalculation_List,6,FALSE),"")</f>
        <v>1.0000000000000002</v>
      </c>
      <c r="I5" s="60" t="s">
        <v>76</v>
      </c>
      <c r="J5" s="61">
        <v>43474</v>
      </c>
      <c r="K5" s="102"/>
      <c r="L5" s="57"/>
      <c r="M5" s="59"/>
      <c r="N5" s="39">
        <v>43445.5</v>
      </c>
      <c r="O5" s="45" t="s">
        <v>138</v>
      </c>
      <c r="P5" s="43"/>
      <c r="Q5" s="43"/>
      <c r="R5" s="32" t="s">
        <v>54</v>
      </c>
      <c r="S5" s="45">
        <v>2019</v>
      </c>
      <c r="T5" s="43">
        <f>MONTH(Output_Table[[#This Row],[Month (Plan)]]&amp;1)</f>
        <v>1</v>
      </c>
    </row>
    <row r="6" spans="1:20" ht="15" customHeight="1" x14ac:dyDescent="0.25">
      <c r="A6" s="51" t="s">
        <v>126</v>
      </c>
      <c r="B6" s="37">
        <v>43438</v>
      </c>
      <c r="C6" s="32">
        <v>8</v>
      </c>
      <c r="D6" s="32" t="s">
        <v>5</v>
      </c>
      <c r="E6" s="38" t="s">
        <v>128</v>
      </c>
      <c r="F6" s="62" t="s">
        <v>130</v>
      </c>
      <c r="G6" s="32" t="s">
        <v>35</v>
      </c>
      <c r="H6" s="56">
        <f>_xlfn.IFNA(VLOOKUP(Output_Table[[#This Row],[Progress]],ProgressCalculation_List,6,FALSE),"")</f>
        <v>1.0000000000000002</v>
      </c>
      <c r="I6" s="60" t="s">
        <v>76</v>
      </c>
      <c r="J6" s="61">
        <v>43474</v>
      </c>
      <c r="K6" s="102"/>
      <c r="L6" s="57"/>
      <c r="M6" s="94"/>
      <c r="N6" s="39">
        <v>43446.625</v>
      </c>
      <c r="O6" s="104" t="s">
        <v>138</v>
      </c>
      <c r="P6" s="43"/>
      <c r="Q6" s="43"/>
      <c r="R6" s="32" t="s">
        <v>54</v>
      </c>
      <c r="S6" s="45">
        <v>2019</v>
      </c>
      <c r="T6" s="43">
        <f>MONTH(Output_Table[[#This Row],[Month (Plan)]]&amp;1)</f>
        <v>1</v>
      </c>
    </row>
    <row r="7" spans="1:20" ht="15" customHeight="1" x14ac:dyDescent="0.25">
      <c r="A7" s="51" t="s">
        <v>131</v>
      </c>
      <c r="B7" s="37">
        <v>43453</v>
      </c>
      <c r="C7" s="32">
        <v>8</v>
      </c>
      <c r="D7" s="32" t="s">
        <v>4</v>
      </c>
      <c r="E7" s="38" t="s">
        <v>149</v>
      </c>
      <c r="F7" s="62" t="s">
        <v>151</v>
      </c>
      <c r="G7" s="32" t="s">
        <v>11</v>
      </c>
      <c r="H7" s="56">
        <f>_xlfn.IFNA(VLOOKUP(Output_Table[[#This Row],[Progress]],ProgressCalculation_List,6,FALSE),"")</f>
        <v>0.449438202247191</v>
      </c>
      <c r="I7" s="60" t="s">
        <v>76</v>
      </c>
      <c r="J7" s="61">
        <v>43483</v>
      </c>
      <c r="K7" s="102"/>
      <c r="L7" s="57"/>
      <c r="M7" s="95"/>
      <c r="N7" s="32"/>
      <c r="O7" s="105"/>
      <c r="P7" s="43"/>
      <c r="Q7" s="43"/>
      <c r="R7" s="32" t="s">
        <v>54</v>
      </c>
      <c r="S7" s="45">
        <v>2019</v>
      </c>
      <c r="T7" s="43">
        <f>MONTH(Output_Table[[#This Row],[Month (Plan)]]&amp;1)</f>
        <v>1</v>
      </c>
    </row>
    <row r="8" spans="1:20" ht="15" customHeight="1" x14ac:dyDescent="0.25">
      <c r="A8" s="51" t="s">
        <v>132</v>
      </c>
      <c r="B8" s="37">
        <v>43453</v>
      </c>
      <c r="C8" s="32">
        <v>8</v>
      </c>
      <c r="D8" s="32" t="s">
        <v>5</v>
      </c>
      <c r="E8" s="38" t="s">
        <v>133</v>
      </c>
      <c r="F8" s="37">
        <v>43452</v>
      </c>
      <c r="G8" s="32" t="s">
        <v>11</v>
      </c>
      <c r="H8" s="56">
        <f>_xlfn.IFNA(VLOOKUP(Output_Table[[#This Row],[Progress]],ProgressCalculation_List,6,FALSE),"")</f>
        <v>0.449438202247191</v>
      </c>
      <c r="I8" s="60" t="s">
        <v>76</v>
      </c>
      <c r="J8" s="61">
        <v>43483</v>
      </c>
      <c r="K8" s="102"/>
      <c r="L8" s="57"/>
      <c r="M8" s="96"/>
      <c r="N8" s="39">
        <v>43467.541666666664</v>
      </c>
      <c r="O8" s="105"/>
      <c r="P8" s="43"/>
      <c r="Q8" s="43"/>
      <c r="R8" s="32" t="s">
        <v>54</v>
      </c>
      <c r="S8" s="45">
        <v>2019</v>
      </c>
      <c r="T8" s="43">
        <f>MONTH(Output_Table[[#This Row],[Month (Plan)]]&amp;1)</f>
        <v>1</v>
      </c>
    </row>
    <row r="9" spans="1:20" ht="15" customHeight="1" x14ac:dyDescent="0.25">
      <c r="A9" s="51" t="s">
        <v>134</v>
      </c>
      <c r="B9" s="37">
        <v>43454</v>
      </c>
      <c r="C9" s="32">
        <v>8</v>
      </c>
      <c r="D9" s="32" t="s">
        <v>5</v>
      </c>
      <c r="E9" s="38" t="s">
        <v>135</v>
      </c>
      <c r="F9" s="62" t="s">
        <v>153</v>
      </c>
      <c r="G9" s="32" t="s">
        <v>15</v>
      </c>
      <c r="H9" s="56">
        <f>_xlfn.IFNA(VLOOKUP(Output_Table[[#This Row],[Progress]],ProgressCalculation_List,6,FALSE),"")</f>
        <v>0</v>
      </c>
      <c r="I9" s="60"/>
      <c r="J9" s="61">
        <v>43490</v>
      </c>
      <c r="K9" s="102"/>
      <c r="L9" s="57"/>
      <c r="M9" s="59"/>
      <c r="N9" s="32"/>
      <c r="O9" s="105"/>
      <c r="P9" s="43"/>
      <c r="Q9" s="43"/>
      <c r="R9" s="32" t="s">
        <v>54</v>
      </c>
      <c r="S9" s="45">
        <v>2019</v>
      </c>
      <c r="T9" s="43">
        <f>MONTH(Output_Table[[#This Row],[Month (Plan)]]&amp;1)</f>
        <v>1</v>
      </c>
    </row>
    <row r="10" spans="1:20" ht="75" x14ac:dyDescent="0.25">
      <c r="A10" s="51" t="s">
        <v>136</v>
      </c>
      <c r="B10" s="37">
        <v>43454</v>
      </c>
      <c r="C10" s="32">
        <v>8</v>
      </c>
      <c r="D10" s="32" t="s">
        <v>5</v>
      </c>
      <c r="E10" s="38" t="s">
        <v>150</v>
      </c>
      <c r="F10" s="97" t="s">
        <v>154</v>
      </c>
      <c r="G10" s="32" t="s">
        <v>15</v>
      </c>
      <c r="H10" s="56">
        <f>_xlfn.IFNA(VLOOKUP(Output_Table[[#This Row],[Progress]],ProgressCalculation_List,6,FALSE),"")</f>
        <v>0</v>
      </c>
      <c r="I10" s="60"/>
      <c r="J10" s="61">
        <v>43490</v>
      </c>
      <c r="K10" s="102">
        <v>1</v>
      </c>
      <c r="L10" s="57"/>
      <c r="M10" s="59"/>
      <c r="N10" s="32"/>
      <c r="O10" s="105"/>
      <c r="P10" s="43"/>
      <c r="Q10" s="43"/>
      <c r="R10" s="32" t="s">
        <v>55</v>
      </c>
      <c r="S10" s="45">
        <v>2019</v>
      </c>
      <c r="T10" s="43">
        <f>MONTH(Output_Table[[#This Row],[Month (Plan)]]&amp;1)</f>
        <v>2</v>
      </c>
    </row>
    <row r="11" spans="1:20" x14ac:dyDescent="0.25">
      <c r="A11" s="51" t="s">
        <v>166</v>
      </c>
      <c r="B11" s="37">
        <v>43472</v>
      </c>
      <c r="C11" s="32">
        <v>8</v>
      </c>
      <c r="D11" s="32" t="s">
        <v>5</v>
      </c>
      <c r="E11" s="32" t="s">
        <v>152</v>
      </c>
      <c r="F11" s="37">
        <v>43472</v>
      </c>
      <c r="G11" s="32" t="s">
        <v>15</v>
      </c>
      <c r="H11" s="56">
        <f>_xlfn.IFNA(VLOOKUP(Output_Table[[#This Row],[Progress]],ProgressCalculation_List,6,FALSE),"")</f>
        <v>0</v>
      </c>
      <c r="I11" s="60"/>
      <c r="J11" s="61">
        <v>43497</v>
      </c>
      <c r="K11" s="102">
        <v>1</v>
      </c>
      <c r="L11" s="57"/>
      <c r="M11" s="59"/>
      <c r="N11" s="32"/>
      <c r="O11" s="45"/>
      <c r="P11" s="43"/>
      <c r="Q11" s="43"/>
      <c r="R11" s="32" t="s">
        <v>55</v>
      </c>
      <c r="S11" s="45">
        <v>2019</v>
      </c>
      <c r="T11" s="43">
        <f>MONTH(Output_Table[[#This Row],[Month (Plan)]]&amp;1)</f>
        <v>2</v>
      </c>
    </row>
    <row r="12" spans="1:20" ht="45" x14ac:dyDescent="0.25">
      <c r="A12" s="51" t="s">
        <v>156</v>
      </c>
      <c r="B12" s="37">
        <v>43472</v>
      </c>
      <c r="C12" s="32">
        <v>8</v>
      </c>
      <c r="D12" s="32" t="s">
        <v>5</v>
      </c>
      <c r="E12" s="38" t="s">
        <v>155</v>
      </c>
      <c r="F12" s="97" t="s">
        <v>157</v>
      </c>
      <c r="G12" s="32" t="s">
        <v>15</v>
      </c>
      <c r="H12" s="56">
        <f>_xlfn.IFNA(VLOOKUP(Output_Table[[#This Row],[Progress]],ProgressCalculation_List,6,FALSE),"")</f>
        <v>0</v>
      </c>
      <c r="I12" s="60"/>
      <c r="J12" s="61">
        <v>43497</v>
      </c>
      <c r="K12" s="102">
        <v>1</v>
      </c>
      <c r="L12" s="57"/>
      <c r="M12" s="59"/>
      <c r="N12" s="32"/>
      <c r="O12" s="45"/>
      <c r="P12" s="43"/>
      <c r="Q12" s="43"/>
      <c r="R12" s="32" t="s">
        <v>55</v>
      </c>
      <c r="S12" s="45">
        <v>2019</v>
      </c>
      <c r="T12" s="43">
        <f>MONTH(Output_Table[[#This Row],[Month (Plan)]]&amp;1)</f>
        <v>2</v>
      </c>
    </row>
    <row r="13" spans="1:20" x14ac:dyDescent="0.25">
      <c r="A13" s="51" t="s">
        <v>136</v>
      </c>
      <c r="B13" s="32"/>
      <c r="C13" s="32">
        <v>8</v>
      </c>
      <c r="D13" s="32"/>
      <c r="E13" s="32"/>
      <c r="F13" s="32"/>
      <c r="G13" s="32"/>
      <c r="H13" s="56" t="str">
        <f>_xlfn.IFNA(VLOOKUP(Output_Table[[#This Row],[Progress]],ProgressCalculation_List,6,FALSE),"")</f>
        <v/>
      </c>
      <c r="I13" s="60"/>
      <c r="J13" s="139"/>
      <c r="K13" s="139"/>
      <c r="L13" s="57"/>
      <c r="M13" s="59"/>
      <c r="N13" s="32"/>
      <c r="O13" s="32"/>
      <c r="P13" s="43"/>
      <c r="Q13" s="43"/>
      <c r="R13" s="32"/>
      <c r="S13" s="45"/>
      <c r="T13" s="43">
        <f>MONTH(Output_Table[[#This Row],[Month (Plan)]]&amp;1)</f>
        <v>1</v>
      </c>
    </row>
    <row r="14" spans="1:20" x14ac:dyDescent="0.25">
      <c r="A14" s="51" t="s">
        <v>166</v>
      </c>
      <c r="B14" s="32"/>
      <c r="C14" s="32">
        <v>8</v>
      </c>
      <c r="D14" s="32"/>
      <c r="E14" s="32"/>
      <c r="F14" s="32"/>
      <c r="G14" s="32"/>
      <c r="H14" s="56" t="str">
        <f>_xlfn.IFNA(VLOOKUP(Output_Table[[#This Row],[Progress]],ProgressCalculation_List,6,FALSE),"")</f>
        <v/>
      </c>
      <c r="I14" s="60"/>
      <c r="J14" s="139"/>
      <c r="K14" s="139"/>
      <c r="L14" s="57"/>
      <c r="M14" s="59"/>
      <c r="N14" s="32"/>
      <c r="O14" s="32"/>
      <c r="P14" s="43"/>
      <c r="Q14" s="43"/>
      <c r="R14" s="32"/>
      <c r="S14" s="45"/>
      <c r="T14" s="43">
        <f>MONTH(Output_Table[[#This Row],[Month (Plan)]]&amp;1)</f>
        <v>1</v>
      </c>
    </row>
    <row r="15" spans="1:20" x14ac:dyDescent="0.25">
      <c r="A15" s="51" t="s">
        <v>156</v>
      </c>
      <c r="B15" s="32"/>
      <c r="C15" s="32">
        <v>8</v>
      </c>
      <c r="D15" s="32"/>
      <c r="E15" s="32"/>
      <c r="F15" s="32"/>
      <c r="G15" s="32"/>
      <c r="H15" s="56" t="str">
        <f>_xlfn.IFNA(VLOOKUP(Output_Table[[#This Row],[Progress]],ProgressCalculation_List,6,FALSE),"")</f>
        <v/>
      </c>
      <c r="I15" s="60"/>
      <c r="J15" s="139"/>
      <c r="K15" s="139"/>
      <c r="L15" s="57"/>
      <c r="M15" s="59"/>
      <c r="N15" s="32"/>
      <c r="O15" s="32"/>
      <c r="P15" s="43"/>
      <c r="Q15" s="43"/>
      <c r="R15" s="32"/>
      <c r="S15" s="45"/>
      <c r="T15" s="43">
        <f>MONTH(Output_Table[[#This Row],[Month (Plan)]]&amp;1)</f>
        <v>1</v>
      </c>
    </row>
    <row r="19" ht="27" customHeight="1" x14ac:dyDescent="0.25"/>
    <row r="26" ht="122.25" customHeight="1" x14ac:dyDescent="0.25"/>
    <row r="44" ht="16.5" customHeight="1" x14ac:dyDescent="0.25"/>
    <row r="88" ht="15" customHeight="1" x14ac:dyDescent="0.25"/>
  </sheetData>
  <mergeCells count="3">
    <mergeCell ref="P2:S2"/>
    <mergeCell ref="A1:N1"/>
    <mergeCell ref="H2:L2"/>
  </mergeCells>
  <conditionalFormatting sqref="E4:E15">
    <cfRule type="expression" dxfId="68" priority="181">
      <formula>$D4="Yes"</formula>
    </cfRule>
  </conditionalFormatting>
  <conditionalFormatting sqref="G4:G15">
    <cfRule type="cellIs" dxfId="67" priority="170" operator="equal">
      <formula>"19. Despatch"</formula>
    </cfRule>
    <cfRule type="cellIs" dxfId="66" priority="172" operator="equal">
      <formula>"18. Final inspection"</formula>
    </cfRule>
    <cfRule type="cellIs" dxfId="65" priority="183" operator="equal">
      <formula>"20. Fail"</formula>
    </cfRule>
    <cfRule type="cellIs" dxfId="64" priority="184" operator="equal">
      <formula>"20. Out"</formula>
    </cfRule>
  </conditionalFormatting>
  <conditionalFormatting sqref="D4:D15">
    <cfRule type="cellIs" dxfId="63" priority="177" operator="equal">
      <formula>"Yes"</formula>
    </cfRule>
  </conditionalFormatting>
  <conditionalFormatting sqref="P2">
    <cfRule type="expression" dxfId="62" priority="128">
      <formula>$D2="Yes"</formula>
    </cfRule>
  </conditionalFormatting>
  <conditionalFormatting sqref="I4:I15">
    <cfRule type="cellIs" dxfId="61" priority="71" operator="equal">
      <formula>"Vincent"</formula>
    </cfRule>
    <cfRule type="cellIs" dxfId="60" priority="74" operator="equal">
      <formula>"Martin"</formula>
    </cfRule>
    <cfRule type="cellIs" dxfId="59" priority="75" operator="equal">
      <formula>"Dean"</formula>
    </cfRule>
  </conditionalFormatting>
  <conditionalFormatting sqref="M4:M15">
    <cfRule type="cellIs" dxfId="58" priority="73" operator="notEqual">
      <formula>""""""</formula>
    </cfRule>
  </conditionalFormatting>
  <conditionalFormatting sqref="A4:A15">
    <cfRule type="expression" dxfId="57" priority="51">
      <formula>$R4="December"</formula>
    </cfRule>
    <cfRule type="expression" dxfId="56" priority="52">
      <formula>$R4="November"</formula>
    </cfRule>
    <cfRule type="expression" dxfId="55" priority="53">
      <formula>$R4="October"</formula>
    </cfRule>
    <cfRule type="expression" dxfId="54" priority="54">
      <formula>$R4="September"</formula>
    </cfRule>
    <cfRule type="expression" dxfId="53" priority="55">
      <formula>$R4="August"</formula>
    </cfRule>
    <cfRule type="expression" dxfId="52" priority="56">
      <formula>$R4="July"</formula>
    </cfRule>
    <cfRule type="expression" dxfId="51" priority="58">
      <formula>$R4="June"</formula>
    </cfRule>
    <cfRule type="expression" dxfId="50" priority="59">
      <formula>$R4="May"</formula>
    </cfRule>
    <cfRule type="expression" dxfId="49" priority="60">
      <formula>$R4="April"</formula>
    </cfRule>
    <cfRule type="expression" dxfId="48" priority="61">
      <formula>$R4="March"</formula>
    </cfRule>
    <cfRule type="expression" dxfId="47" priority="62">
      <formula>$R4="February"</formula>
    </cfRule>
    <cfRule type="expression" dxfId="46" priority="63">
      <formula>$R4="January"</formula>
    </cfRule>
  </conditionalFormatting>
  <conditionalFormatting sqref="J4:J15">
    <cfRule type="expression" dxfId="45" priority="231">
      <formula>#REF!&gt;#REF!</formula>
    </cfRule>
  </conditionalFormatting>
  <conditionalFormatting sqref="H4:H15">
    <cfRule type="expression" dxfId="44" priority="243">
      <formula>$G4="02. Initial build"</formula>
    </cfRule>
    <cfRule type="expression" dxfId="43" priority="244">
      <formula>$G4="19. Despatch"</formula>
    </cfRule>
    <cfRule type="expression" dxfId="42" priority="245">
      <formula>$G4="20. Fail"</formula>
    </cfRule>
    <cfRule type="cellIs" dxfId="41" priority="246" operator="equal">
      <formula>0</formula>
    </cfRule>
    <cfRule type="cellIs" dxfId="40" priority="247" operator="equal">
      <formula>1</formula>
    </cfRule>
    <cfRule type="colorScale" priority="248">
      <colorScale>
        <cfvo type="percent" val="0"/>
        <cfvo type="percent" val="40"/>
        <cfvo type="percent" val="100"/>
        <color theme="5" tint="-0.249977111117893"/>
        <color rgb="FFFFEB84"/>
        <color theme="9" tint="-0.249977111117893"/>
      </colorScale>
    </cfRule>
  </conditionalFormatting>
  <conditionalFormatting sqref="K4:L15">
    <cfRule type="expression" dxfId="39" priority="249">
      <formula>#REF!&lt;$C4</formula>
    </cfRule>
  </conditionalFormatting>
  <conditionalFormatting sqref="A13">
    <cfRule type="expression" dxfId="38" priority="25">
      <formula>$R13="December"</formula>
    </cfRule>
    <cfRule type="expression" dxfId="37" priority="26">
      <formula>$R13="November"</formula>
    </cfRule>
    <cfRule type="expression" dxfId="36" priority="27">
      <formula>$R13="October"</formula>
    </cfRule>
    <cfRule type="expression" dxfId="35" priority="28">
      <formula>$R13="September"</formula>
    </cfRule>
    <cfRule type="expression" dxfId="34" priority="29">
      <formula>$R13="August"</formula>
    </cfRule>
    <cfRule type="expression" dxfId="33" priority="30">
      <formula>$R13="July"</formula>
    </cfRule>
    <cfRule type="expression" dxfId="32" priority="31">
      <formula>$R13="June"</formula>
    </cfRule>
    <cfRule type="expression" dxfId="31" priority="32">
      <formula>$R13="May"</formula>
    </cfRule>
    <cfRule type="expression" dxfId="30" priority="33">
      <formula>$R13="April"</formula>
    </cfRule>
    <cfRule type="expression" dxfId="29" priority="34">
      <formula>$R13="March"</formula>
    </cfRule>
    <cfRule type="expression" dxfId="28" priority="35">
      <formula>$R13="February"</formula>
    </cfRule>
    <cfRule type="expression" dxfId="27" priority="36">
      <formula>$R13="January"</formula>
    </cfRule>
  </conditionalFormatting>
  <conditionalFormatting sqref="A14">
    <cfRule type="expression" dxfId="25" priority="13">
      <formula>$R14="December"</formula>
    </cfRule>
    <cfRule type="expression" dxfId="24" priority="14">
      <formula>$R14="November"</formula>
    </cfRule>
    <cfRule type="expression" dxfId="23" priority="15">
      <formula>$R14="October"</formula>
    </cfRule>
    <cfRule type="expression" dxfId="22" priority="16">
      <formula>$R14="September"</formula>
    </cfRule>
    <cfRule type="expression" dxfId="21" priority="17">
      <formula>$R14="August"</formula>
    </cfRule>
    <cfRule type="expression" dxfId="20" priority="18">
      <formula>$R14="July"</formula>
    </cfRule>
    <cfRule type="expression" dxfId="19" priority="19">
      <formula>$R14="June"</formula>
    </cfRule>
    <cfRule type="expression" dxfId="18" priority="20">
      <formula>$R14="May"</formula>
    </cfRule>
    <cfRule type="expression" dxfId="17" priority="21">
      <formula>$R14="April"</formula>
    </cfRule>
    <cfRule type="expression" dxfId="16" priority="22">
      <formula>$R14="March"</formula>
    </cfRule>
    <cfRule type="expression" dxfId="15" priority="23">
      <formula>$R14="February"</formula>
    </cfRule>
    <cfRule type="expression" dxfId="14" priority="24">
      <formula>$R14="January"</formula>
    </cfRule>
  </conditionalFormatting>
  <conditionalFormatting sqref="A15">
    <cfRule type="expression" dxfId="13" priority="1">
      <formula>$R15="December"</formula>
    </cfRule>
    <cfRule type="expression" dxfId="12" priority="2">
      <formula>$R15="November"</formula>
    </cfRule>
    <cfRule type="expression" dxfId="11" priority="3">
      <formula>$R15="October"</formula>
    </cfRule>
    <cfRule type="expression" dxfId="10" priority="4">
      <formula>$R15="September"</formula>
    </cfRule>
    <cfRule type="expression" dxfId="9" priority="5">
      <formula>$R15="August"</formula>
    </cfRule>
    <cfRule type="expression" dxfId="8" priority="6">
      <formula>$R15="July"</formula>
    </cfRule>
    <cfRule type="expression" dxfId="7" priority="7">
      <formula>$R15="June"</formula>
    </cfRule>
    <cfRule type="expression" dxfId="6" priority="8">
      <formula>$R15="May"</formula>
    </cfRule>
    <cfRule type="expression" dxfId="5" priority="9">
      <formula>$R15="April"</formula>
    </cfRule>
    <cfRule type="expression" dxfId="4" priority="10">
      <formula>$R15="March"</formula>
    </cfRule>
    <cfRule type="expression" dxfId="3" priority="11">
      <formula>$R15="February"</formula>
    </cfRule>
    <cfRule type="expression" dxfId="2" priority="12">
      <formula>$R15="January"</formula>
    </cfRule>
  </conditionalFormatting>
  <dataValidations count="5">
    <dataValidation type="list" allowBlank="1" showInputMessage="1" showErrorMessage="1" errorTitle="Input error" error="Something is wrong" promptTitle="Shotrages in the kit" prompt="Does this job has shortages? " sqref="D4:D15" xr:uid="{00000000-0002-0000-0000-000000000000}">
      <formula1>Shortages_List</formula1>
    </dataValidation>
    <dataValidation type="list" allowBlank="1" showInputMessage="1" showErrorMessage="1" sqref="R4:R15" xr:uid="{00000000-0002-0000-0000-000001000000}">
      <formula1 xml:space="preserve"> OutupMonth_List</formula1>
    </dataValidation>
    <dataValidation type="list" allowBlank="1" showInputMessage="1" showErrorMessage="1" errorTitle="Incorrect input" sqref="G4:G15" xr:uid="{00000000-0002-0000-0000-000002000000}">
      <formula1>Progress_List</formula1>
    </dataValidation>
    <dataValidation type="list" allowBlank="1" showInputMessage="1" showErrorMessage="1" sqref="S4:S15" xr:uid="{00000000-0002-0000-0000-000003000000}">
      <formula1 xml:space="preserve"> Years_List</formula1>
    </dataValidation>
    <dataValidation type="list" allowBlank="1" showInputMessage="1" showErrorMessage="1" sqref="I4:I15" xr:uid="{00000000-0002-0000-0000-000004000000}">
      <formula1>Operator_List</formula1>
    </dataValidation>
  </dataValidations>
  <hyperlinks>
    <hyperlink ref="O1" r:id="rId1" tooltip="Open help how to use the log" xr:uid="{00000000-0004-0000-0000-000000000000}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FirstRecord" altText="Go to first record.">
                <anchor moveWithCells="1">
                  <from>
                    <xdr:col>5</xdr:col>
                    <xdr:colOff>733425</xdr:colOff>
                    <xdr:row>1</xdr:row>
                    <xdr:rowOff>85725</xdr:rowOff>
                  </from>
                  <to>
                    <xdr:col>6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LastRecord" altText="Go to last record.">
                <anchor moveWithCells="1">
                  <from>
                    <xdr:col>6</xdr:col>
                    <xdr:colOff>561975</xdr:colOff>
                    <xdr:row>1</xdr:row>
                    <xdr:rowOff>85725</xdr:rowOff>
                  </from>
                  <to>
                    <xdr:col>6</xdr:col>
                    <xdr:colOff>1647825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B36AF-041E-4B45-AC8B-83B41840E8DC}">
  <dimension ref="A1:E13"/>
  <sheetViews>
    <sheetView tabSelected="1" workbookViewId="0">
      <selection sqref="A1:F13"/>
    </sheetView>
  </sheetViews>
  <sheetFormatPr defaultRowHeight="15" x14ac:dyDescent="0.25"/>
  <cols>
    <col min="1" max="1" width="8.28515625" bestFit="1" customWidth="1"/>
    <col min="2" max="2" width="7.85546875" bestFit="1" customWidth="1"/>
    <col min="3" max="3" width="8.140625" bestFit="1" customWidth="1"/>
    <col min="4" max="4" width="7" bestFit="1" customWidth="1"/>
    <col min="5" max="5" width="6.42578125" bestFit="1" customWidth="1"/>
    <col min="6" max="6" width="13.5703125" customWidth="1"/>
    <col min="7" max="7" width="8.140625" bestFit="1" customWidth="1"/>
    <col min="8" max="8" width="7" bestFit="1" customWidth="1"/>
    <col min="9" max="9" width="6.42578125" bestFit="1" customWidth="1"/>
  </cols>
  <sheetData>
    <row r="1" spans="1:5" x14ac:dyDescent="0.25">
      <c r="A1" s="106" t="s">
        <v>164</v>
      </c>
      <c r="B1" t="s">
        <v>7</v>
      </c>
      <c r="C1" t="s">
        <v>1</v>
      </c>
      <c r="D1" t="s">
        <v>162</v>
      </c>
      <c r="E1" t="s">
        <v>165</v>
      </c>
    </row>
    <row r="2" spans="1:5" x14ac:dyDescent="0.25">
      <c r="A2" s="106">
        <v>1</v>
      </c>
      <c r="B2" s="106" t="s">
        <v>122</v>
      </c>
      <c r="C2">
        <v>8</v>
      </c>
      <c r="D2">
        <v>0</v>
      </c>
      <c r="E2">
        <v>0</v>
      </c>
    </row>
    <row r="3" spans="1:5" x14ac:dyDescent="0.25">
      <c r="A3" s="106">
        <v>2</v>
      </c>
      <c r="B3" s="106" t="s">
        <v>123</v>
      </c>
      <c r="C3">
        <v>8</v>
      </c>
      <c r="D3">
        <v>0</v>
      </c>
      <c r="E3">
        <v>0</v>
      </c>
    </row>
    <row r="4" spans="1:5" x14ac:dyDescent="0.25">
      <c r="A4" s="106">
        <v>3</v>
      </c>
      <c r="B4" s="106" t="s">
        <v>126</v>
      </c>
      <c r="C4">
        <v>8</v>
      </c>
      <c r="D4">
        <v>0</v>
      </c>
      <c r="E4">
        <v>0</v>
      </c>
    </row>
    <row r="5" spans="1:5" x14ac:dyDescent="0.25">
      <c r="A5" s="106">
        <v>4</v>
      </c>
      <c r="B5" s="106" t="s">
        <v>131</v>
      </c>
      <c r="C5">
        <v>8</v>
      </c>
      <c r="D5">
        <v>0</v>
      </c>
      <c r="E5">
        <v>0</v>
      </c>
    </row>
    <row r="6" spans="1:5" x14ac:dyDescent="0.25">
      <c r="A6" s="106">
        <v>5</v>
      </c>
      <c r="B6" s="106" t="s">
        <v>132</v>
      </c>
      <c r="C6">
        <v>8</v>
      </c>
      <c r="D6">
        <v>0</v>
      </c>
      <c r="E6">
        <v>0</v>
      </c>
    </row>
    <row r="7" spans="1:5" x14ac:dyDescent="0.25">
      <c r="A7" s="106">
        <v>6</v>
      </c>
      <c r="B7" s="106" t="s">
        <v>134</v>
      </c>
      <c r="C7">
        <v>8</v>
      </c>
      <c r="D7">
        <v>0</v>
      </c>
      <c r="E7">
        <v>0</v>
      </c>
    </row>
    <row r="8" spans="1:5" x14ac:dyDescent="0.25">
      <c r="A8" s="106">
        <v>7</v>
      </c>
      <c r="B8" s="106" t="s">
        <v>136</v>
      </c>
      <c r="C8">
        <v>8</v>
      </c>
      <c r="D8">
        <v>1</v>
      </c>
      <c r="E8">
        <v>0</v>
      </c>
    </row>
    <row r="9" spans="1:5" x14ac:dyDescent="0.25">
      <c r="A9" s="106">
        <v>10</v>
      </c>
      <c r="B9" s="106" t="s">
        <v>136</v>
      </c>
      <c r="C9">
        <v>8</v>
      </c>
      <c r="D9">
        <v>0</v>
      </c>
      <c r="E9">
        <v>0</v>
      </c>
    </row>
    <row r="10" spans="1:5" x14ac:dyDescent="0.25">
      <c r="A10" s="106">
        <v>8</v>
      </c>
      <c r="B10" s="106" t="s">
        <v>166</v>
      </c>
      <c r="C10">
        <v>8</v>
      </c>
      <c r="D10">
        <v>1</v>
      </c>
      <c r="E10">
        <v>0</v>
      </c>
    </row>
    <row r="11" spans="1:5" x14ac:dyDescent="0.25">
      <c r="A11" s="106">
        <v>11</v>
      </c>
      <c r="B11" s="106" t="s">
        <v>166</v>
      </c>
      <c r="C11">
        <v>8</v>
      </c>
      <c r="D11">
        <v>0</v>
      </c>
      <c r="E11">
        <v>0</v>
      </c>
    </row>
    <row r="12" spans="1:5" x14ac:dyDescent="0.25">
      <c r="A12" s="106">
        <v>9</v>
      </c>
      <c r="B12" s="106" t="s">
        <v>156</v>
      </c>
      <c r="C12">
        <v>8</v>
      </c>
      <c r="D12">
        <v>1</v>
      </c>
      <c r="E12">
        <v>0</v>
      </c>
    </row>
    <row r="13" spans="1:5" x14ac:dyDescent="0.25">
      <c r="A13" s="106">
        <v>12</v>
      </c>
      <c r="B13" s="106" t="s">
        <v>156</v>
      </c>
      <c r="C13">
        <v>8</v>
      </c>
      <c r="D13">
        <v>0</v>
      </c>
      <c r="E13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9"/>
  <sheetViews>
    <sheetView topLeftCell="A4" workbookViewId="0">
      <selection activeCell="A22" sqref="A22"/>
    </sheetView>
  </sheetViews>
  <sheetFormatPr defaultRowHeight="15" x14ac:dyDescent="0.25"/>
  <cols>
    <col min="1" max="1" width="60.7109375" customWidth="1"/>
    <col min="2" max="2" width="20.7109375" customWidth="1"/>
  </cols>
  <sheetData>
    <row r="1" spans="1:2" ht="27" thickBot="1" x14ac:dyDescent="0.45">
      <c r="A1" s="122" t="s">
        <v>37</v>
      </c>
      <c r="B1" s="123"/>
    </row>
    <row r="2" spans="1:2" ht="30" customHeight="1" thickTop="1" x14ac:dyDescent="0.25">
      <c r="A2" s="128" t="s">
        <v>119</v>
      </c>
      <c r="B2" s="129"/>
    </row>
    <row r="3" spans="1:2" ht="30" customHeight="1" x14ac:dyDescent="0.25">
      <c r="A3" s="130" t="s">
        <v>142</v>
      </c>
      <c r="B3" s="131"/>
    </row>
    <row r="4" spans="1:2" ht="30" customHeight="1" x14ac:dyDescent="0.25">
      <c r="A4" s="120" t="s">
        <v>116</v>
      </c>
      <c r="B4" s="121"/>
    </row>
    <row r="5" spans="1:2" x14ac:dyDescent="0.25">
      <c r="A5" s="85" t="s">
        <v>118</v>
      </c>
      <c r="B5" s="86" t="s">
        <v>3</v>
      </c>
    </row>
    <row r="6" spans="1:2" x14ac:dyDescent="0.25">
      <c r="A6" s="5"/>
      <c r="B6" s="84" t="s">
        <v>2</v>
      </c>
    </row>
    <row r="7" spans="1:2" x14ac:dyDescent="0.25">
      <c r="A7" s="5"/>
      <c r="B7" s="84" t="s">
        <v>74</v>
      </c>
    </row>
    <row r="8" spans="1:2" x14ac:dyDescent="0.25">
      <c r="A8" s="5"/>
      <c r="B8" s="84" t="s">
        <v>51</v>
      </c>
    </row>
    <row r="9" spans="1:2" x14ac:dyDescent="0.25">
      <c r="A9" s="87"/>
      <c r="B9" s="88" t="s">
        <v>73</v>
      </c>
    </row>
    <row r="10" spans="1:2" x14ac:dyDescent="0.25">
      <c r="A10" s="91" t="s">
        <v>113</v>
      </c>
      <c r="B10" s="92" t="s">
        <v>26</v>
      </c>
    </row>
    <row r="11" spans="1:2" x14ac:dyDescent="0.25">
      <c r="A11" s="93"/>
      <c r="B11" s="100" t="s">
        <v>144</v>
      </c>
    </row>
    <row r="12" spans="1:2" x14ac:dyDescent="0.25">
      <c r="A12" s="89"/>
      <c r="B12" s="90" t="s">
        <v>70</v>
      </c>
    </row>
    <row r="13" spans="1:2" ht="75" customHeight="1" x14ac:dyDescent="0.25">
      <c r="A13" s="130" t="s">
        <v>145</v>
      </c>
      <c r="B13" s="131"/>
    </row>
    <row r="14" spans="1:2" x14ac:dyDescent="0.25">
      <c r="A14" s="116" t="s">
        <v>146</v>
      </c>
      <c r="B14" s="117"/>
    </row>
    <row r="15" spans="1:2" x14ac:dyDescent="0.25">
      <c r="A15" s="132" t="s">
        <v>114</v>
      </c>
      <c r="B15" s="133"/>
    </row>
    <row r="16" spans="1:2" ht="45" customHeight="1" x14ac:dyDescent="0.25">
      <c r="A16" s="124" t="s">
        <v>143</v>
      </c>
      <c r="B16" s="125"/>
    </row>
    <row r="17" spans="1:2" ht="30" customHeight="1" x14ac:dyDescent="0.25">
      <c r="A17" s="126" t="s">
        <v>115</v>
      </c>
      <c r="B17" s="127"/>
    </row>
    <row r="18" spans="1:2" x14ac:dyDescent="0.25">
      <c r="A18" s="116" t="s">
        <v>147</v>
      </c>
      <c r="B18" s="117"/>
    </row>
    <row r="19" spans="1:2" ht="15.75" thickBot="1" x14ac:dyDescent="0.3">
      <c r="A19" s="118" t="s">
        <v>117</v>
      </c>
      <c r="B19" s="119"/>
    </row>
  </sheetData>
  <mergeCells count="11">
    <mergeCell ref="A18:B18"/>
    <mergeCell ref="A19:B19"/>
    <mergeCell ref="A4:B4"/>
    <mergeCell ref="A1:B1"/>
    <mergeCell ref="A16:B16"/>
    <mergeCell ref="A17:B17"/>
    <mergeCell ref="A2:B2"/>
    <mergeCell ref="A3:B3"/>
    <mergeCell ref="A14:B14"/>
    <mergeCell ref="A13:B13"/>
    <mergeCell ref="A15:B1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25"/>
  <sheetViews>
    <sheetView workbookViewId="0">
      <selection activeCell="C24" sqref="C24"/>
    </sheetView>
  </sheetViews>
  <sheetFormatPr defaultRowHeight="15" x14ac:dyDescent="0.25"/>
  <cols>
    <col min="1" max="1" width="14.140625" bestFit="1" customWidth="1"/>
    <col min="2" max="2" width="35.42578125" bestFit="1" customWidth="1"/>
    <col min="3" max="3" width="70.42578125" customWidth="1"/>
    <col min="4" max="4" width="35.85546875" bestFit="1" customWidth="1"/>
    <col min="5" max="5" width="11.140625" bestFit="1" customWidth="1"/>
  </cols>
  <sheetData>
    <row r="1" spans="1:4" ht="26.25" x14ac:dyDescent="0.4">
      <c r="A1" s="135" t="s">
        <v>107</v>
      </c>
      <c r="B1" s="136"/>
      <c r="C1" s="136"/>
      <c r="D1" s="137"/>
    </row>
    <row r="2" spans="1:4" ht="19.5" thickBot="1" x14ac:dyDescent="0.35">
      <c r="A2" s="75" t="s">
        <v>111</v>
      </c>
      <c r="B2" s="76" t="s">
        <v>49</v>
      </c>
      <c r="C2" s="77" t="s">
        <v>39</v>
      </c>
      <c r="D2" s="78" t="s">
        <v>80</v>
      </c>
    </row>
    <row r="3" spans="1:4" ht="15.75" thickTop="1" x14ac:dyDescent="0.25">
      <c r="A3" s="72" t="s">
        <v>0</v>
      </c>
      <c r="B3" s="73" t="s">
        <v>38</v>
      </c>
      <c r="C3" s="73"/>
      <c r="D3" s="74" t="s">
        <v>96</v>
      </c>
    </row>
    <row r="4" spans="1:4" x14ac:dyDescent="0.25">
      <c r="A4" s="28" t="s">
        <v>8</v>
      </c>
      <c r="B4" s="22" t="s">
        <v>81</v>
      </c>
      <c r="C4" s="64"/>
      <c r="D4" s="24" t="s">
        <v>96</v>
      </c>
    </row>
    <row r="5" spans="1:4" x14ac:dyDescent="0.25">
      <c r="A5" s="25" t="s">
        <v>1</v>
      </c>
      <c r="B5" s="69" t="s">
        <v>40</v>
      </c>
      <c r="C5" s="69"/>
      <c r="D5" s="70" t="s">
        <v>96</v>
      </c>
    </row>
    <row r="6" spans="1:4" x14ac:dyDescent="0.25">
      <c r="A6" s="28" t="s">
        <v>3</v>
      </c>
      <c r="B6" s="22" t="s">
        <v>82</v>
      </c>
      <c r="C6" s="64" t="s">
        <v>46</v>
      </c>
      <c r="D6" s="24" t="s">
        <v>96</v>
      </c>
    </row>
    <row r="7" spans="1:4" x14ac:dyDescent="0.25">
      <c r="A7" s="28" t="s">
        <v>47</v>
      </c>
      <c r="B7" s="22" t="s">
        <v>83</v>
      </c>
      <c r="C7" s="64" t="s">
        <v>84</v>
      </c>
      <c r="D7" s="24" t="s">
        <v>96</v>
      </c>
    </row>
    <row r="8" spans="1:4" x14ac:dyDescent="0.25">
      <c r="A8" s="28" t="s">
        <v>66</v>
      </c>
      <c r="B8" s="22" t="s">
        <v>85</v>
      </c>
      <c r="C8" s="64" t="s">
        <v>86</v>
      </c>
      <c r="D8" s="24" t="s">
        <v>96</v>
      </c>
    </row>
    <row r="9" spans="1:4" x14ac:dyDescent="0.25">
      <c r="A9" s="23" t="s">
        <v>2</v>
      </c>
      <c r="B9" s="22" t="s">
        <v>41</v>
      </c>
      <c r="C9" s="64" t="s">
        <v>42</v>
      </c>
      <c r="D9" s="24" t="s">
        <v>96</v>
      </c>
    </row>
    <row r="10" spans="1:4" x14ac:dyDescent="0.25">
      <c r="A10" s="23" t="s">
        <v>26</v>
      </c>
      <c r="B10" s="22" t="s">
        <v>43</v>
      </c>
      <c r="C10" s="79" t="s">
        <v>110</v>
      </c>
      <c r="D10" s="24" t="s">
        <v>96</v>
      </c>
    </row>
    <row r="11" spans="1:4" x14ac:dyDescent="0.25">
      <c r="A11" s="23" t="s">
        <v>74</v>
      </c>
      <c r="B11" s="22" t="s">
        <v>87</v>
      </c>
      <c r="C11" s="64" t="s">
        <v>88</v>
      </c>
      <c r="D11" s="24" t="s">
        <v>96</v>
      </c>
    </row>
    <row r="12" spans="1:4" x14ac:dyDescent="0.25">
      <c r="A12" s="25" t="s">
        <v>24</v>
      </c>
      <c r="B12" s="69" t="s">
        <v>44</v>
      </c>
      <c r="C12" s="71" t="s">
        <v>89</v>
      </c>
      <c r="D12" s="70" t="s">
        <v>96</v>
      </c>
    </row>
    <row r="13" spans="1:4" x14ac:dyDescent="0.25">
      <c r="A13" s="25" t="s">
        <v>9</v>
      </c>
      <c r="B13" s="69" t="s">
        <v>45</v>
      </c>
      <c r="C13" s="71" t="s">
        <v>90</v>
      </c>
      <c r="D13" s="70" t="s">
        <v>96</v>
      </c>
    </row>
    <row r="14" spans="1:4" x14ac:dyDescent="0.25">
      <c r="A14" s="23" t="s">
        <v>50</v>
      </c>
      <c r="B14" s="22" t="s">
        <v>91</v>
      </c>
      <c r="C14" s="64" t="s">
        <v>92</v>
      </c>
      <c r="D14" s="66" t="s">
        <v>96</v>
      </c>
    </row>
    <row r="15" spans="1:4" x14ac:dyDescent="0.25">
      <c r="A15" s="67" t="s">
        <v>93</v>
      </c>
      <c r="B15" s="58" t="s">
        <v>94</v>
      </c>
      <c r="C15" s="65" t="s">
        <v>95</v>
      </c>
      <c r="D15" s="66" t="s">
        <v>112</v>
      </c>
    </row>
    <row r="16" spans="1:4" x14ac:dyDescent="0.25">
      <c r="A16" s="67" t="s">
        <v>6</v>
      </c>
      <c r="B16" s="58"/>
      <c r="C16" s="65" t="s">
        <v>97</v>
      </c>
      <c r="D16" s="66" t="s">
        <v>96</v>
      </c>
    </row>
    <row r="17" spans="1:4" x14ac:dyDescent="0.25">
      <c r="A17" s="67" t="s">
        <v>140</v>
      </c>
      <c r="B17" s="58" t="s">
        <v>106</v>
      </c>
      <c r="C17" s="68" t="s">
        <v>109</v>
      </c>
      <c r="D17" s="66" t="s">
        <v>96</v>
      </c>
    </row>
    <row r="18" spans="1:4" ht="30" x14ac:dyDescent="0.25">
      <c r="A18" s="67" t="s">
        <v>70</v>
      </c>
      <c r="B18" s="58" t="s">
        <v>105</v>
      </c>
      <c r="C18" s="68" t="s">
        <v>108</v>
      </c>
      <c r="D18" s="66" t="s">
        <v>96</v>
      </c>
    </row>
    <row r="19" spans="1:4" ht="30" x14ac:dyDescent="0.25">
      <c r="A19" s="67" t="s">
        <v>98</v>
      </c>
      <c r="B19" s="58" t="s">
        <v>102</v>
      </c>
      <c r="C19" s="98" t="s">
        <v>139</v>
      </c>
      <c r="D19" s="66" t="s">
        <v>104</v>
      </c>
    </row>
    <row r="20" spans="1:4" ht="30" x14ac:dyDescent="0.25">
      <c r="A20" s="67" t="s">
        <v>69</v>
      </c>
      <c r="B20" s="58" t="s">
        <v>103</v>
      </c>
      <c r="C20" s="98" t="s">
        <v>139</v>
      </c>
      <c r="D20" s="66" t="s">
        <v>104</v>
      </c>
    </row>
    <row r="21" spans="1:4" x14ac:dyDescent="0.25">
      <c r="A21" s="67" t="s">
        <v>51</v>
      </c>
      <c r="B21" s="58" t="s">
        <v>99</v>
      </c>
      <c r="C21" s="80" t="s">
        <v>101</v>
      </c>
      <c r="D21" s="66" t="s">
        <v>104</v>
      </c>
    </row>
    <row r="22" spans="1:4" ht="15.75" thickBot="1" x14ac:dyDescent="0.3">
      <c r="A22" s="31" t="s">
        <v>73</v>
      </c>
      <c r="B22" s="26" t="s">
        <v>100</v>
      </c>
      <c r="C22" s="81" t="s">
        <v>101</v>
      </c>
      <c r="D22" s="27" t="s">
        <v>104</v>
      </c>
    </row>
    <row r="23" spans="1:4" x14ac:dyDescent="0.25">
      <c r="A23" s="29"/>
      <c r="B23" s="12"/>
      <c r="C23" s="12"/>
      <c r="D23" s="12"/>
    </row>
    <row r="24" spans="1:4" x14ac:dyDescent="0.25">
      <c r="A24" s="134" t="s">
        <v>48</v>
      </c>
      <c r="B24" s="134"/>
      <c r="C24" s="63"/>
    </row>
    <row r="25" spans="1:4" x14ac:dyDescent="0.25">
      <c r="A25" s="30"/>
      <c r="B25" s="30"/>
      <c r="C25" s="63"/>
    </row>
  </sheetData>
  <mergeCells count="2">
    <mergeCell ref="A24:B24"/>
    <mergeCell ref="A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N24"/>
  <sheetViews>
    <sheetView workbookViewId="0">
      <selection activeCell="F36" sqref="F36"/>
    </sheetView>
  </sheetViews>
  <sheetFormatPr defaultRowHeight="15" x14ac:dyDescent="0.25"/>
  <cols>
    <col min="1" max="1" width="23.140625" bestFit="1" customWidth="1"/>
    <col min="2" max="2" width="25.28515625" bestFit="1" customWidth="1"/>
    <col min="3" max="3" width="15.42578125" bestFit="1" customWidth="1"/>
    <col min="6" max="6" width="11.140625" bestFit="1" customWidth="1"/>
    <col min="7" max="7" width="7.140625" bestFit="1" customWidth="1"/>
    <col min="8" max="8" width="11.140625" customWidth="1"/>
    <col min="9" max="9" width="7.140625" customWidth="1"/>
    <col min="10" max="10" width="11.85546875" customWidth="1"/>
    <col min="13" max="13" width="20.7109375" customWidth="1"/>
    <col min="14" max="14" width="18.7109375" bestFit="1" customWidth="1"/>
  </cols>
  <sheetData>
    <row r="1" spans="1:14" ht="15.75" x14ac:dyDescent="0.25">
      <c r="A1" s="9" t="s">
        <v>2</v>
      </c>
      <c r="B1" s="10" t="s">
        <v>28</v>
      </c>
      <c r="C1" s="15" t="s">
        <v>67</v>
      </c>
      <c r="D1" s="15" t="s">
        <v>29</v>
      </c>
      <c r="E1" s="15" t="s">
        <v>29</v>
      </c>
      <c r="F1" s="11" t="s">
        <v>27</v>
      </c>
      <c r="G1" s="12"/>
      <c r="H1" s="29" t="s">
        <v>74</v>
      </c>
      <c r="I1" s="12"/>
      <c r="J1" s="3" t="s">
        <v>3</v>
      </c>
      <c r="K1" s="12"/>
      <c r="L1" s="12"/>
      <c r="M1" s="3" t="s">
        <v>64</v>
      </c>
      <c r="N1" s="3" t="s">
        <v>72</v>
      </c>
    </row>
    <row r="2" spans="1:14" x14ac:dyDescent="0.25">
      <c r="A2" s="5" t="s">
        <v>68</v>
      </c>
      <c r="B2" s="6">
        <v>0</v>
      </c>
      <c r="C2" s="13">
        <v>0</v>
      </c>
      <c r="D2" s="6">
        <v>0</v>
      </c>
      <c r="E2" s="13">
        <v>0</v>
      </c>
      <c r="F2" s="52">
        <f>E2</f>
        <v>0</v>
      </c>
      <c r="G2" s="12"/>
      <c r="H2" s="12"/>
      <c r="I2" s="12"/>
      <c r="J2" s="12"/>
      <c r="K2" s="12"/>
      <c r="L2" s="12"/>
      <c r="M2" s="33" t="s">
        <v>68</v>
      </c>
      <c r="N2" s="33"/>
    </row>
    <row r="3" spans="1:14" x14ac:dyDescent="0.25">
      <c r="A3" s="5" t="s">
        <v>15</v>
      </c>
      <c r="B3" s="6">
        <v>0.25</v>
      </c>
      <c r="C3" s="13">
        <f t="shared" ref="C3:C23" si="0">B3/B$24</f>
        <v>1.5460729746444033E-3</v>
      </c>
      <c r="D3" s="6">
        <v>0.25</v>
      </c>
      <c r="E3" s="13">
        <f t="shared" ref="E3:E24" si="1">D3/D$24</f>
        <v>1.8726591760299626E-2</v>
      </c>
      <c r="F3" s="52">
        <f>E2+F2</f>
        <v>0</v>
      </c>
      <c r="G3" s="34"/>
      <c r="H3" s="19" t="s">
        <v>75</v>
      </c>
      <c r="I3" s="17"/>
      <c r="J3" s="102" t="s">
        <v>4</v>
      </c>
      <c r="M3" s="54" t="s">
        <v>54</v>
      </c>
      <c r="N3" s="41">
        <v>1</v>
      </c>
    </row>
    <row r="4" spans="1:14" x14ac:dyDescent="0.25">
      <c r="A4" s="5" t="s">
        <v>16</v>
      </c>
      <c r="B4" s="6">
        <v>1.5</v>
      </c>
      <c r="C4" s="13">
        <f t="shared" si="0"/>
        <v>9.2764378478664197E-3</v>
      </c>
      <c r="D4" s="6">
        <v>1.5</v>
      </c>
      <c r="E4" s="13">
        <f t="shared" si="1"/>
        <v>0.11235955056179775</v>
      </c>
      <c r="F4" s="52">
        <f>E3+F3</f>
        <v>1.8726591760299626E-2</v>
      </c>
      <c r="G4" s="19"/>
      <c r="H4" s="19" t="s">
        <v>76</v>
      </c>
      <c r="I4" s="13"/>
      <c r="J4" s="12" t="s">
        <v>5</v>
      </c>
      <c r="M4" s="55" t="s">
        <v>55</v>
      </c>
      <c r="N4" s="42">
        <v>2</v>
      </c>
    </row>
    <row r="5" spans="1:14" x14ac:dyDescent="0.25">
      <c r="A5" s="5" t="s">
        <v>17</v>
      </c>
      <c r="B5" s="6">
        <v>0</v>
      </c>
      <c r="C5" s="13">
        <f t="shared" si="0"/>
        <v>0</v>
      </c>
      <c r="D5" s="6">
        <v>0.1</v>
      </c>
      <c r="E5" s="13">
        <f t="shared" si="1"/>
        <v>7.4906367041198511E-3</v>
      </c>
      <c r="F5" s="52">
        <f>E4+F4</f>
        <v>0.13108614232209737</v>
      </c>
      <c r="G5" s="19"/>
      <c r="H5" s="34" t="s">
        <v>78</v>
      </c>
      <c r="I5" s="13"/>
      <c r="M5" s="54" t="s">
        <v>56</v>
      </c>
      <c r="N5" s="41">
        <v>3</v>
      </c>
    </row>
    <row r="6" spans="1:14" x14ac:dyDescent="0.25">
      <c r="A6" s="5" t="s">
        <v>18</v>
      </c>
      <c r="B6" s="6">
        <v>2</v>
      </c>
      <c r="C6" s="13">
        <f t="shared" si="0"/>
        <v>1.2368583797155226E-2</v>
      </c>
      <c r="D6" s="6">
        <v>2</v>
      </c>
      <c r="E6" s="13">
        <f t="shared" si="1"/>
        <v>0.14981273408239701</v>
      </c>
      <c r="F6" s="52">
        <f t="shared" ref="F6:F21" si="2">E5+F5</f>
        <v>0.13857677902621721</v>
      </c>
      <c r="G6" s="19"/>
      <c r="H6" s="19"/>
      <c r="I6" s="13"/>
      <c r="M6" s="55" t="s">
        <v>57</v>
      </c>
      <c r="N6" s="42">
        <v>4</v>
      </c>
    </row>
    <row r="7" spans="1:14" x14ac:dyDescent="0.25">
      <c r="A7" s="5" t="s">
        <v>19</v>
      </c>
      <c r="B7" s="6">
        <v>48</v>
      </c>
      <c r="C7" s="13">
        <f t="shared" si="0"/>
        <v>0.29684601113172543</v>
      </c>
      <c r="D7" s="6">
        <v>0.1</v>
      </c>
      <c r="E7" s="13">
        <f t="shared" si="1"/>
        <v>7.4906367041198511E-3</v>
      </c>
      <c r="F7" s="52">
        <f t="shared" si="2"/>
        <v>0.28838951310861421</v>
      </c>
      <c r="G7" s="19"/>
      <c r="H7" s="19"/>
      <c r="I7" s="13"/>
      <c r="J7" s="12" t="s">
        <v>73</v>
      </c>
      <c r="M7" s="54" t="s">
        <v>58</v>
      </c>
      <c r="N7" s="41">
        <v>5</v>
      </c>
    </row>
    <row r="8" spans="1:14" x14ac:dyDescent="0.25">
      <c r="A8" s="5" t="s">
        <v>20</v>
      </c>
      <c r="B8" s="6">
        <v>0.45</v>
      </c>
      <c r="C8" s="13">
        <f t="shared" si="0"/>
        <v>2.7829313543599262E-3</v>
      </c>
      <c r="D8" s="6">
        <v>0.75</v>
      </c>
      <c r="E8" s="13">
        <f t="shared" si="1"/>
        <v>5.6179775280898875E-2</v>
      </c>
      <c r="F8" s="52">
        <f t="shared" si="2"/>
        <v>0.29588014981273408</v>
      </c>
      <c r="G8" s="19"/>
      <c r="H8" s="19"/>
      <c r="I8" s="13"/>
      <c r="J8" s="12"/>
      <c r="M8" s="55" t="s">
        <v>59</v>
      </c>
      <c r="N8" s="42">
        <v>6</v>
      </c>
    </row>
    <row r="9" spans="1:14" x14ac:dyDescent="0.25">
      <c r="A9" s="5" t="s">
        <v>21</v>
      </c>
      <c r="B9" s="6">
        <v>4</v>
      </c>
      <c r="C9" s="13">
        <f t="shared" si="0"/>
        <v>2.4737167594310452E-2</v>
      </c>
      <c r="D9" s="6">
        <v>0.2</v>
      </c>
      <c r="E9" s="13">
        <f t="shared" si="1"/>
        <v>1.4981273408239702E-2</v>
      </c>
      <c r="F9" s="52">
        <f t="shared" si="2"/>
        <v>0.35205992509363293</v>
      </c>
      <c r="G9" s="19"/>
      <c r="H9" s="19"/>
      <c r="I9" s="13"/>
      <c r="J9" s="102">
        <v>2017</v>
      </c>
      <c r="M9" s="54" t="s">
        <v>60</v>
      </c>
      <c r="N9" s="41">
        <v>7</v>
      </c>
    </row>
    <row r="10" spans="1:14" x14ac:dyDescent="0.25">
      <c r="A10" s="5" t="s">
        <v>22</v>
      </c>
      <c r="B10" s="6">
        <v>1</v>
      </c>
      <c r="C10" s="13">
        <f t="shared" si="0"/>
        <v>6.1842918985776131E-3</v>
      </c>
      <c r="D10" s="6">
        <v>1</v>
      </c>
      <c r="E10" s="13">
        <f t="shared" si="1"/>
        <v>7.4906367041198504E-2</v>
      </c>
      <c r="F10" s="52">
        <f t="shared" si="2"/>
        <v>0.36704119850187261</v>
      </c>
      <c r="G10" s="19"/>
      <c r="H10" s="19"/>
      <c r="I10" s="13"/>
      <c r="J10" s="102">
        <v>2018</v>
      </c>
      <c r="M10" s="55" t="s">
        <v>61</v>
      </c>
      <c r="N10" s="42">
        <v>8</v>
      </c>
    </row>
    <row r="11" spans="1:14" x14ac:dyDescent="0.25">
      <c r="A11" s="5" t="s">
        <v>23</v>
      </c>
      <c r="B11" s="6">
        <v>2</v>
      </c>
      <c r="C11" s="13">
        <f t="shared" si="0"/>
        <v>1.2368583797155226E-2</v>
      </c>
      <c r="D11" s="6">
        <v>0.1</v>
      </c>
      <c r="E11" s="13">
        <f t="shared" si="1"/>
        <v>7.4906367041198511E-3</v>
      </c>
      <c r="F11" s="52">
        <f t="shared" si="2"/>
        <v>0.44194756554307113</v>
      </c>
      <c r="G11" s="19"/>
      <c r="H11" s="19"/>
      <c r="I11" s="13"/>
      <c r="J11" s="102">
        <v>2019</v>
      </c>
      <c r="M11" s="54" t="s">
        <v>62</v>
      </c>
      <c r="N11" s="41">
        <v>9</v>
      </c>
    </row>
    <row r="12" spans="1:14" x14ac:dyDescent="0.25">
      <c r="A12" s="5" t="s">
        <v>11</v>
      </c>
      <c r="B12" s="6">
        <v>1</v>
      </c>
      <c r="C12" s="13">
        <f t="shared" si="0"/>
        <v>6.1842918985776131E-3</v>
      </c>
      <c r="D12" s="6">
        <v>1</v>
      </c>
      <c r="E12" s="13">
        <f t="shared" si="1"/>
        <v>7.4906367041198504E-2</v>
      </c>
      <c r="F12" s="52">
        <f t="shared" si="2"/>
        <v>0.449438202247191</v>
      </c>
      <c r="G12" s="19"/>
      <c r="H12" s="19"/>
      <c r="I12" s="13"/>
      <c r="J12" s="102">
        <v>2020</v>
      </c>
      <c r="M12" s="55" t="s">
        <v>52</v>
      </c>
      <c r="N12" s="42">
        <v>10</v>
      </c>
    </row>
    <row r="13" spans="1:14" x14ac:dyDescent="0.25">
      <c r="A13" s="5" t="s">
        <v>12</v>
      </c>
      <c r="B13" s="6">
        <v>0</v>
      </c>
      <c r="C13" s="13">
        <f t="shared" si="0"/>
        <v>0</v>
      </c>
      <c r="D13" s="6">
        <v>0.1</v>
      </c>
      <c r="E13" s="13">
        <f t="shared" si="1"/>
        <v>7.4906367041198511E-3</v>
      </c>
      <c r="F13" s="52">
        <f t="shared" si="2"/>
        <v>0.52434456928838946</v>
      </c>
      <c r="G13" s="19"/>
      <c r="H13" s="19"/>
      <c r="I13" s="13"/>
      <c r="M13" s="54" t="s">
        <v>53</v>
      </c>
      <c r="N13" s="41">
        <v>11</v>
      </c>
    </row>
    <row r="14" spans="1:14" x14ac:dyDescent="0.25">
      <c r="A14" s="5" t="s">
        <v>13</v>
      </c>
      <c r="B14" s="6">
        <v>0</v>
      </c>
      <c r="C14" s="13">
        <f t="shared" si="0"/>
        <v>0</v>
      </c>
      <c r="D14" s="6">
        <v>0.2</v>
      </c>
      <c r="E14" s="13">
        <f t="shared" si="1"/>
        <v>1.4981273408239702E-2</v>
      </c>
      <c r="F14" s="52">
        <f t="shared" si="2"/>
        <v>0.53183520599250933</v>
      </c>
      <c r="G14" s="19"/>
      <c r="H14" s="19"/>
      <c r="I14" s="13"/>
      <c r="M14" s="55" t="s">
        <v>63</v>
      </c>
      <c r="N14" s="42">
        <v>12</v>
      </c>
    </row>
    <row r="15" spans="1:14" x14ac:dyDescent="0.25">
      <c r="A15" s="5" t="s">
        <v>14</v>
      </c>
      <c r="B15" s="6">
        <v>96</v>
      </c>
      <c r="C15" s="13">
        <f t="shared" si="0"/>
        <v>0.59369202226345086</v>
      </c>
      <c r="D15" s="6">
        <v>0.2</v>
      </c>
      <c r="E15" s="13">
        <f t="shared" si="1"/>
        <v>1.4981273408239702E-2</v>
      </c>
      <c r="F15" s="52">
        <f t="shared" si="2"/>
        <v>0.54681647940074907</v>
      </c>
      <c r="G15" s="19"/>
      <c r="H15" s="19"/>
      <c r="I15" s="13"/>
    </row>
    <row r="16" spans="1:14" x14ac:dyDescent="0.25">
      <c r="A16" s="5" t="s">
        <v>30</v>
      </c>
      <c r="B16" s="6">
        <v>2</v>
      </c>
      <c r="C16" s="13">
        <f t="shared" si="0"/>
        <v>1.2368583797155226E-2</v>
      </c>
      <c r="D16" s="6">
        <v>2</v>
      </c>
      <c r="E16" s="13">
        <f t="shared" si="1"/>
        <v>0.14981273408239701</v>
      </c>
      <c r="F16" s="52">
        <f t="shared" si="2"/>
        <v>0.5617977528089888</v>
      </c>
      <c r="G16" s="19"/>
      <c r="H16" s="19"/>
      <c r="I16" s="13"/>
      <c r="M16" s="42" t="s">
        <v>148</v>
      </c>
      <c r="N16" s="42"/>
    </row>
    <row r="17" spans="1:14" x14ac:dyDescent="0.25">
      <c r="A17" s="5" t="s">
        <v>31</v>
      </c>
      <c r="B17" s="6">
        <v>0</v>
      </c>
      <c r="C17" s="13">
        <f t="shared" si="0"/>
        <v>0</v>
      </c>
      <c r="D17" s="6">
        <v>0.1</v>
      </c>
      <c r="E17" s="13">
        <f t="shared" si="1"/>
        <v>7.4906367041198511E-3</v>
      </c>
      <c r="F17" s="52">
        <f t="shared" si="2"/>
        <v>0.71161048689138584</v>
      </c>
      <c r="G17" s="19"/>
      <c r="H17" s="19"/>
      <c r="I17" s="13"/>
      <c r="M17" s="101" t="s">
        <v>14</v>
      </c>
      <c r="N17" s="101">
        <f>IFERROR(VALUE(LEFT(M17,2)),0)</f>
        <v>13</v>
      </c>
    </row>
    <row r="18" spans="1:14" x14ac:dyDescent="0.25">
      <c r="A18" s="5" t="s">
        <v>32</v>
      </c>
      <c r="B18" s="6">
        <v>2</v>
      </c>
      <c r="C18" s="13">
        <f t="shared" si="0"/>
        <v>1.2368583797155226E-2</v>
      </c>
      <c r="D18" s="6">
        <v>2</v>
      </c>
      <c r="E18" s="13">
        <f t="shared" si="1"/>
        <v>0.14981273408239701</v>
      </c>
      <c r="F18" s="52">
        <f t="shared" si="2"/>
        <v>0.71910112359550571</v>
      </c>
      <c r="G18" s="19"/>
      <c r="H18" s="19"/>
      <c r="I18" s="13"/>
    </row>
    <row r="19" spans="1:14" x14ac:dyDescent="0.25">
      <c r="A19" s="5" t="s">
        <v>33</v>
      </c>
      <c r="B19" s="6">
        <v>0</v>
      </c>
      <c r="C19" s="13">
        <f t="shared" si="0"/>
        <v>0</v>
      </c>
      <c r="D19" s="6">
        <v>0.25</v>
      </c>
      <c r="E19" s="13">
        <f t="shared" si="1"/>
        <v>1.8726591760299626E-2</v>
      </c>
      <c r="F19" s="52">
        <f t="shared" si="2"/>
        <v>0.86891385767790275</v>
      </c>
      <c r="G19" s="19"/>
      <c r="H19" s="19"/>
      <c r="I19" s="13"/>
    </row>
    <row r="20" spans="1:14" x14ac:dyDescent="0.25">
      <c r="A20" s="35" t="s">
        <v>65</v>
      </c>
      <c r="B20" s="6">
        <v>1</v>
      </c>
      <c r="C20" s="13">
        <f t="shared" si="0"/>
        <v>6.1842918985776131E-3</v>
      </c>
      <c r="D20" s="6">
        <v>1</v>
      </c>
      <c r="E20" s="13">
        <f t="shared" si="1"/>
        <v>7.4906367041198504E-2</v>
      </c>
      <c r="F20" s="52">
        <f t="shared" si="2"/>
        <v>0.88764044943820242</v>
      </c>
      <c r="G20" s="19"/>
      <c r="H20" s="19"/>
      <c r="I20" s="13"/>
    </row>
    <row r="21" spans="1:14" x14ac:dyDescent="0.25">
      <c r="A21" s="35" t="s">
        <v>34</v>
      </c>
      <c r="B21" s="6">
        <v>0.5</v>
      </c>
      <c r="C21" s="13">
        <f t="shared" si="0"/>
        <v>3.0921459492888066E-3</v>
      </c>
      <c r="D21" s="6">
        <v>0.5</v>
      </c>
      <c r="E21" s="13">
        <f t="shared" si="1"/>
        <v>3.7453183520599252E-2</v>
      </c>
      <c r="F21" s="52">
        <f t="shared" si="2"/>
        <v>0.96254681647940088</v>
      </c>
      <c r="G21" s="19"/>
      <c r="H21" s="19"/>
      <c r="I21" s="13"/>
    </row>
    <row r="22" spans="1:14" x14ac:dyDescent="0.25">
      <c r="A22" s="35" t="s">
        <v>36</v>
      </c>
      <c r="B22" s="6">
        <v>0</v>
      </c>
      <c r="C22" s="13">
        <f t="shared" si="0"/>
        <v>0</v>
      </c>
      <c r="D22" s="6">
        <v>0</v>
      </c>
      <c r="E22" s="13">
        <f t="shared" si="1"/>
        <v>0</v>
      </c>
      <c r="F22" s="52">
        <f>E21+F21</f>
        <v>1.0000000000000002</v>
      </c>
      <c r="G22" s="19"/>
      <c r="H22" s="19"/>
      <c r="I22" s="13"/>
    </row>
    <row r="23" spans="1:14" x14ac:dyDescent="0.25">
      <c r="A23" s="36" t="s">
        <v>35</v>
      </c>
      <c r="B23" s="4">
        <v>0</v>
      </c>
      <c r="C23" s="14">
        <f t="shared" si="0"/>
        <v>0</v>
      </c>
      <c r="D23" s="4">
        <v>0</v>
      </c>
      <c r="E23" s="14">
        <f t="shared" si="1"/>
        <v>0</v>
      </c>
      <c r="F23" s="53">
        <f>E21+F21</f>
        <v>1.0000000000000002</v>
      </c>
      <c r="G23" s="19"/>
      <c r="H23" s="19"/>
      <c r="I23" s="13"/>
    </row>
    <row r="24" spans="1:14" ht="15.75" thickBot="1" x14ac:dyDescent="0.3">
      <c r="A24" s="7"/>
      <c r="B24" s="8">
        <f>SUM(B2:B23)</f>
        <v>161.69999999999999</v>
      </c>
      <c r="C24" s="16">
        <f>SUM(C3:C23)</f>
        <v>1</v>
      </c>
      <c r="D24" s="8">
        <f>SUM(D3:D23)</f>
        <v>13.35</v>
      </c>
      <c r="E24" s="20">
        <f t="shared" si="1"/>
        <v>1</v>
      </c>
      <c r="F24" s="21"/>
      <c r="G24" s="18"/>
      <c r="H24" s="18"/>
      <c r="I24" s="13"/>
    </row>
  </sheetData>
  <dataConsolidate/>
  <dataValidations disablePrompts="1" count="1">
    <dataValidation type="list" allowBlank="1" showInputMessage="1" showErrorMessage="1" sqref="M17" xr:uid="{00000000-0002-0000-0400-000000000000}">
      <formula1>Progress_List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item1.xml>�� 
</file>

<file path=customXml/item2.xml>�� &  &  
</file>

<file path=customXml/item3.xml>�� 
</file>

<file path=customXml/item4.xml>�� 
</file>

<file path=customXml/item5.xml>�� 
</file>

<file path=customXml/item6.xml>�� &  & 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&  & 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&  &  
</file>

<file path=customXml/item22.xml>�� 
</file>

<file path=customXml/item23.xml>�� 
</file>

<file path=customXml/item24.xml>�� &  &  
</file>

<file path=customXml/item25.xml>�� &  &  
</file>

<file path=customXml/item26.xml>�� 
</file>

<file path=customXml/item27.xml>�� 
</file>

<file path=customXml/item28.xml>�� 
</file>

<file path=customXml/item29.xml>�� 
</file>

<file path=customXml/item30.xml>�� &  & 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&  &  
</file>

<file path=customXml/item43.xml>�� 
</file>

<file path=customXml/item44.xml>�� &  &  &  &  &  &  &  &  
</file>

<file path=customXml/item45.xml>�� &  &  &  &  &  & 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Props1.xml><?xml version="1.0" encoding="utf-8"?>
<ds:datastoreItem xmlns:ds="http://schemas.openxmlformats.org/officeDocument/2006/customXml" ds:itemID="{48C2C0D1-60C2-4987-9430-2C55CA607D4C}">
  <ds:schemaRefs/>
</ds:datastoreItem>
</file>

<file path=customXml/itemProps2.xml><?xml version="1.0" encoding="utf-8"?>
<ds:datastoreItem xmlns:ds="http://schemas.openxmlformats.org/officeDocument/2006/customXml" ds:itemID="{41743865-A882-4FDA-A92A-8D92B5214D38}">
  <ds:schemaRefs/>
</ds:datastoreItem>
</file>

<file path=customXml/itemProps3.xml><?xml version="1.0" encoding="utf-8"?>
<ds:datastoreItem xmlns:ds="http://schemas.openxmlformats.org/officeDocument/2006/customXml" ds:itemID="{C02E9EF3-A547-4BB6-92B4-08F84E0EADBF}">
  <ds:schemaRefs/>
</ds:datastoreItem>
</file>

<file path=customXml/itemProps4.xml><?xml version="1.0" encoding="utf-8"?>
<ds:datastoreItem xmlns:ds="http://schemas.openxmlformats.org/officeDocument/2006/customXml" ds:itemID="{4A29A86C-33CC-40A7-9D7B-DEFCF4CFB804}">
  <ds:schemaRefs/>
</ds:datastoreItem>
</file>

<file path=customXml/itemProps5.xml><?xml version="1.0" encoding="utf-8"?>
<ds:datastoreItem xmlns:ds="http://schemas.openxmlformats.org/officeDocument/2006/customXml" ds:itemID="{A78FCBC6-7332-45B2-BE25-A542E2A395EE}">
  <ds:schemaRefs/>
</ds:datastoreItem>
</file>

<file path=customXml/itemProps6.xml><?xml version="1.0" encoding="utf-8"?>
<ds:datastoreItem xmlns:ds="http://schemas.openxmlformats.org/officeDocument/2006/customXml" ds:itemID="{97D3D3C1-ADD3-4DB2-BF09-AEC2518734BB}">
  <ds:schemaRefs/>
</ds:datastoreItem>
</file>

<file path=customXml/itemProps7.xml><?xml version="1.0" encoding="utf-8"?>
<ds:datastoreItem xmlns:ds="http://schemas.openxmlformats.org/officeDocument/2006/customXml" ds:itemID="{AC2AB4B3-BE74-4A92-911B-8869EF21115D}">
  <ds:schemaRefs/>
</ds:datastoreItem>
</file>

<file path=customXml/itemProps8.xml><?xml version="1.0" encoding="utf-8"?>
<ds:datastoreItem xmlns:ds="http://schemas.openxmlformats.org/officeDocument/2006/customXml" ds:itemID="{491ADFD8-13F1-47E9-B50C-95291C696D69}">
  <ds:schemaRefs/>
</ds:datastoreItem>
</file>

<file path=customXml/itemProps9.xml><?xml version="1.0" encoding="utf-8"?>
<ds:datastoreItem xmlns:ds="http://schemas.openxmlformats.org/officeDocument/2006/customXml" ds:itemID="{95875DAF-2C0F-4C26-BCBB-C74008BDF201}">
  <ds:schemaRefs/>
</ds:datastoreItem>
</file>

<file path=customXml/itemProps10.xml><?xml version="1.0" encoding="utf-8"?>
<ds:datastoreItem xmlns:ds="http://schemas.openxmlformats.org/officeDocument/2006/customXml" ds:itemID="{B7AA1C8F-C98C-45D3-ADE1-29E42FC61522}">
  <ds:schemaRefs/>
</ds:datastoreItem>
</file>

<file path=customXml/itemProps11.xml><?xml version="1.0" encoding="utf-8"?>
<ds:datastoreItem xmlns:ds="http://schemas.openxmlformats.org/officeDocument/2006/customXml" ds:itemID="{1E76A08A-0FDF-4BE9-AB1A-1A93C3051747}">
  <ds:schemaRefs/>
</ds:datastoreItem>
</file>

<file path=customXml/itemProps12.xml><?xml version="1.0" encoding="utf-8"?>
<ds:datastoreItem xmlns:ds="http://schemas.openxmlformats.org/officeDocument/2006/customXml" ds:itemID="{2242501E-F2B8-44FE-879D-017516CB0029}">
  <ds:schemaRefs/>
</ds:datastoreItem>
</file>

<file path=customXml/itemProps13.xml><?xml version="1.0" encoding="utf-8"?>
<ds:datastoreItem xmlns:ds="http://schemas.openxmlformats.org/officeDocument/2006/customXml" ds:itemID="{B8DC0A8D-E83E-4F9B-9192-A6E0888D957F}">
  <ds:schemaRefs/>
</ds:datastoreItem>
</file>

<file path=customXml/itemProps14.xml><?xml version="1.0" encoding="utf-8"?>
<ds:datastoreItem xmlns:ds="http://schemas.openxmlformats.org/officeDocument/2006/customXml" ds:itemID="{C25446A7-F369-44FF-AE94-5DEC2E6EEEAB}">
  <ds:schemaRefs/>
</ds:datastoreItem>
</file>

<file path=customXml/itemProps15.xml><?xml version="1.0" encoding="utf-8"?>
<ds:datastoreItem xmlns:ds="http://schemas.openxmlformats.org/officeDocument/2006/customXml" ds:itemID="{258C362E-E128-4024-9651-CB1994A16451}">
  <ds:schemaRefs/>
</ds:datastoreItem>
</file>

<file path=customXml/itemProps16.xml><?xml version="1.0" encoding="utf-8"?>
<ds:datastoreItem xmlns:ds="http://schemas.openxmlformats.org/officeDocument/2006/customXml" ds:itemID="{E71B1189-ECDD-493E-A6F7-CBE78E8D8EFA}">
  <ds:schemaRefs/>
</ds:datastoreItem>
</file>

<file path=customXml/itemProps17.xml><?xml version="1.0" encoding="utf-8"?>
<ds:datastoreItem xmlns:ds="http://schemas.openxmlformats.org/officeDocument/2006/customXml" ds:itemID="{16B5F18F-D16F-436F-97C0-E44EA2FA8149}">
  <ds:schemaRefs/>
</ds:datastoreItem>
</file>

<file path=customXml/itemProps18.xml><?xml version="1.0" encoding="utf-8"?>
<ds:datastoreItem xmlns:ds="http://schemas.openxmlformats.org/officeDocument/2006/customXml" ds:itemID="{B4B64E02-5222-4F2B-9574-DA9EB17F1CE2}">
  <ds:schemaRefs/>
</ds:datastoreItem>
</file>

<file path=customXml/itemProps19.xml><?xml version="1.0" encoding="utf-8"?>
<ds:datastoreItem xmlns:ds="http://schemas.openxmlformats.org/officeDocument/2006/customXml" ds:itemID="{AC1901DD-931D-4473-8A1F-3CFEBAF462A7}">
  <ds:schemaRefs/>
</ds:datastoreItem>
</file>

<file path=customXml/itemProps20.xml><?xml version="1.0" encoding="utf-8"?>
<ds:datastoreItem xmlns:ds="http://schemas.openxmlformats.org/officeDocument/2006/customXml" ds:itemID="{9C1439F1-702B-4EFA-B1B1-2D428FAD6679}">
  <ds:schemaRefs/>
</ds:datastoreItem>
</file>

<file path=customXml/itemProps21.xml><?xml version="1.0" encoding="utf-8"?>
<ds:datastoreItem xmlns:ds="http://schemas.openxmlformats.org/officeDocument/2006/customXml" ds:itemID="{441CF83B-3BD0-41B8-B4CA-F98683B1554A}">
  <ds:schemaRefs/>
</ds:datastoreItem>
</file>

<file path=customXml/itemProps22.xml><?xml version="1.0" encoding="utf-8"?>
<ds:datastoreItem xmlns:ds="http://schemas.openxmlformats.org/officeDocument/2006/customXml" ds:itemID="{3144BBA6-9B0C-4A01-888A-8733C48577D5}">
  <ds:schemaRefs/>
</ds:datastoreItem>
</file>

<file path=customXml/itemProps23.xml><?xml version="1.0" encoding="utf-8"?>
<ds:datastoreItem xmlns:ds="http://schemas.openxmlformats.org/officeDocument/2006/customXml" ds:itemID="{675D269E-7969-438D-B7DA-F4E4E7F7A079}">
  <ds:schemaRefs/>
</ds:datastoreItem>
</file>

<file path=customXml/itemProps24.xml><?xml version="1.0" encoding="utf-8"?>
<ds:datastoreItem xmlns:ds="http://schemas.openxmlformats.org/officeDocument/2006/customXml" ds:itemID="{A9EF5538-55C9-441D-AF02-9EB7B56B10ED}">
  <ds:schemaRefs/>
</ds:datastoreItem>
</file>

<file path=customXml/itemProps25.xml><?xml version="1.0" encoding="utf-8"?>
<ds:datastoreItem xmlns:ds="http://schemas.openxmlformats.org/officeDocument/2006/customXml" ds:itemID="{E70945CF-B060-4BFC-A947-9C8E51857B05}">
  <ds:schemaRefs/>
</ds:datastoreItem>
</file>

<file path=customXml/itemProps26.xml><?xml version="1.0" encoding="utf-8"?>
<ds:datastoreItem xmlns:ds="http://schemas.openxmlformats.org/officeDocument/2006/customXml" ds:itemID="{E45F6048-7987-4352-9873-9BE5F3299D71}">
  <ds:schemaRefs/>
</ds:datastoreItem>
</file>

<file path=customXml/itemProps27.xml><?xml version="1.0" encoding="utf-8"?>
<ds:datastoreItem xmlns:ds="http://schemas.openxmlformats.org/officeDocument/2006/customXml" ds:itemID="{76EF64C8-48F7-404E-BF9E-427D14A9A502}">
  <ds:schemaRefs/>
</ds:datastoreItem>
</file>

<file path=customXml/itemProps28.xml><?xml version="1.0" encoding="utf-8"?>
<ds:datastoreItem xmlns:ds="http://schemas.openxmlformats.org/officeDocument/2006/customXml" ds:itemID="{285BB461-EEC6-46C5-991D-461E88C2D149}">
  <ds:schemaRefs/>
</ds:datastoreItem>
</file>

<file path=customXml/itemProps29.xml><?xml version="1.0" encoding="utf-8"?>
<ds:datastoreItem xmlns:ds="http://schemas.openxmlformats.org/officeDocument/2006/customXml" ds:itemID="{F1014242-4A05-4C43-A19A-C008BD513E1F}">
  <ds:schemaRefs/>
</ds:datastoreItem>
</file>

<file path=customXml/itemProps30.xml><?xml version="1.0" encoding="utf-8"?>
<ds:datastoreItem xmlns:ds="http://schemas.openxmlformats.org/officeDocument/2006/customXml" ds:itemID="{E43C5826-D052-46D8-A1DC-F612808802E5}">
  <ds:schemaRefs/>
</ds:datastoreItem>
</file>

<file path=customXml/itemProps31.xml><?xml version="1.0" encoding="utf-8"?>
<ds:datastoreItem xmlns:ds="http://schemas.openxmlformats.org/officeDocument/2006/customXml" ds:itemID="{6CE73D5B-AF8D-4697-9AB3-0425719ABE06}">
  <ds:schemaRefs/>
</ds:datastoreItem>
</file>

<file path=customXml/itemProps32.xml><?xml version="1.0" encoding="utf-8"?>
<ds:datastoreItem xmlns:ds="http://schemas.openxmlformats.org/officeDocument/2006/customXml" ds:itemID="{E499A9AE-E70C-45D5-BD64-80FCDDA0762C}">
  <ds:schemaRefs/>
</ds:datastoreItem>
</file>

<file path=customXml/itemProps33.xml><?xml version="1.0" encoding="utf-8"?>
<ds:datastoreItem xmlns:ds="http://schemas.openxmlformats.org/officeDocument/2006/customXml" ds:itemID="{9691A0AE-37CD-4B87-9CC6-252B35629321}">
  <ds:schemaRefs/>
</ds:datastoreItem>
</file>

<file path=customXml/itemProps34.xml><?xml version="1.0" encoding="utf-8"?>
<ds:datastoreItem xmlns:ds="http://schemas.openxmlformats.org/officeDocument/2006/customXml" ds:itemID="{6B8A58C9-A8ED-4DD4-99E9-3644867C0DA4}">
  <ds:schemaRefs/>
</ds:datastoreItem>
</file>

<file path=customXml/itemProps35.xml><?xml version="1.0" encoding="utf-8"?>
<ds:datastoreItem xmlns:ds="http://schemas.openxmlformats.org/officeDocument/2006/customXml" ds:itemID="{D174133F-CDD5-4201-9A81-9F0C995C4342}">
  <ds:schemaRefs/>
</ds:datastoreItem>
</file>

<file path=customXml/itemProps36.xml><?xml version="1.0" encoding="utf-8"?>
<ds:datastoreItem xmlns:ds="http://schemas.openxmlformats.org/officeDocument/2006/customXml" ds:itemID="{7A89A817-8565-4263-9C57-592B6A067409}">
  <ds:schemaRefs/>
</ds:datastoreItem>
</file>

<file path=customXml/itemProps37.xml><?xml version="1.0" encoding="utf-8"?>
<ds:datastoreItem xmlns:ds="http://schemas.openxmlformats.org/officeDocument/2006/customXml" ds:itemID="{014643FC-3FA9-4BE2-AAFB-6AA51CD44C5C}">
  <ds:schemaRefs/>
</ds:datastoreItem>
</file>

<file path=customXml/itemProps38.xml><?xml version="1.0" encoding="utf-8"?>
<ds:datastoreItem xmlns:ds="http://schemas.openxmlformats.org/officeDocument/2006/customXml" ds:itemID="{CA6841C6-BB5A-4AB8-8A12-35C4222A15CA}">
  <ds:schemaRefs/>
</ds:datastoreItem>
</file>

<file path=customXml/itemProps39.xml><?xml version="1.0" encoding="utf-8"?>
<ds:datastoreItem xmlns:ds="http://schemas.openxmlformats.org/officeDocument/2006/customXml" ds:itemID="{78E3FFC9-8C64-4E99-A52D-46B48F7E89CA}">
  <ds:schemaRefs/>
</ds:datastoreItem>
</file>

<file path=customXml/itemProps40.xml><?xml version="1.0" encoding="utf-8"?>
<ds:datastoreItem xmlns:ds="http://schemas.openxmlformats.org/officeDocument/2006/customXml" ds:itemID="{B465FACF-56DE-42EF-84F0-D794384E1210}">
  <ds:schemaRefs/>
</ds:datastoreItem>
</file>

<file path=customXml/itemProps41.xml><?xml version="1.0" encoding="utf-8"?>
<ds:datastoreItem xmlns:ds="http://schemas.openxmlformats.org/officeDocument/2006/customXml" ds:itemID="{AB94426A-461F-4116-91D9-F000EBF64CC8}">
  <ds:schemaRefs/>
</ds:datastoreItem>
</file>

<file path=customXml/itemProps42.xml><?xml version="1.0" encoding="utf-8"?>
<ds:datastoreItem xmlns:ds="http://schemas.openxmlformats.org/officeDocument/2006/customXml" ds:itemID="{0130A791-01D7-43D7-B8D5-BB5B82D07034}">
  <ds:schemaRefs/>
</ds:datastoreItem>
</file>

<file path=customXml/itemProps43.xml><?xml version="1.0" encoding="utf-8"?>
<ds:datastoreItem xmlns:ds="http://schemas.openxmlformats.org/officeDocument/2006/customXml" ds:itemID="{62395600-A51A-4456-9ED1-3989D65672FA}">
  <ds:schemaRefs/>
</ds:datastoreItem>
</file>

<file path=customXml/itemProps44.xml><?xml version="1.0" encoding="utf-8"?>
<ds:datastoreItem xmlns:ds="http://schemas.openxmlformats.org/officeDocument/2006/customXml" ds:itemID="{2038FA0B-75AB-4072-B2F0-BAC23A1B091C}">
  <ds:schemaRefs/>
</ds:datastoreItem>
</file>

<file path=customXml/itemProps45.xml><?xml version="1.0" encoding="utf-8"?>
<ds:datastoreItem xmlns:ds="http://schemas.openxmlformats.org/officeDocument/2006/customXml" ds:itemID="{68E3DAB4-F66D-4FDA-90D0-6994B754FCA7}">
  <ds:schemaRefs/>
</ds:datastoreItem>
</file>

<file path=customXml/itemProps46.xml><?xml version="1.0" encoding="utf-8"?>
<ds:datastoreItem xmlns:ds="http://schemas.openxmlformats.org/officeDocument/2006/customXml" ds:itemID="{0A11B90D-C551-42BB-9FE4-82617C984B37}">
  <ds:schemaRefs/>
</ds:datastoreItem>
</file>

<file path=customXml/itemProps47.xml><?xml version="1.0" encoding="utf-8"?>
<ds:datastoreItem xmlns:ds="http://schemas.openxmlformats.org/officeDocument/2006/customXml" ds:itemID="{909A8A52-0764-4AA5-89AF-CEC01CA58615}">
  <ds:schemaRefs>
    <ds:schemaRef ds:uri="http://schemas.microsoft.com/DataMashup"/>
  </ds:schemaRefs>
</ds:datastoreItem>
</file>

<file path=customXml/itemProps48.xml><?xml version="1.0" encoding="utf-8"?>
<ds:datastoreItem xmlns:ds="http://schemas.openxmlformats.org/officeDocument/2006/customXml" ds:itemID="{DE5FE2E4-9A52-4111-A042-B1155651C199}">
  <ds:schemaRefs/>
</ds:datastoreItem>
</file>

<file path=customXml/itemProps49.xml><?xml version="1.0" encoding="utf-8"?>
<ds:datastoreItem xmlns:ds="http://schemas.openxmlformats.org/officeDocument/2006/customXml" ds:itemID="{0EE8A75A-AA69-425F-9E5B-26A82CE8E754}">
  <ds:schemaRefs/>
</ds:datastoreItem>
</file>

<file path=customXml/itemProps50.xml><?xml version="1.0" encoding="utf-8"?>
<ds:datastoreItem xmlns:ds="http://schemas.openxmlformats.org/officeDocument/2006/customXml" ds:itemID="{B656BD21-F96C-4E46-A06C-F80B0B801B02}">
  <ds:schemaRefs/>
</ds:datastoreItem>
</file>

<file path=customXml/itemProps51.xml><?xml version="1.0" encoding="utf-8"?>
<ds:datastoreItem xmlns:ds="http://schemas.openxmlformats.org/officeDocument/2006/customXml" ds:itemID="{4B48876A-D257-4633-A325-0D490BECDDFD}">
  <ds:schemaRefs/>
</ds:datastoreItem>
</file>

<file path=customXml/itemProps52.xml><?xml version="1.0" encoding="utf-8"?>
<ds:datastoreItem xmlns:ds="http://schemas.openxmlformats.org/officeDocument/2006/customXml" ds:itemID="{98A5776D-49EB-4795-855E-F86C9AACB34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Job tracker</vt:lpstr>
      <vt:lpstr>Sheet1</vt:lpstr>
      <vt:lpstr>How to use</vt:lpstr>
      <vt:lpstr>Columns description</vt:lpstr>
      <vt:lpstr>Lists</vt:lpstr>
      <vt:lpstr>Operator_List</vt:lpstr>
      <vt:lpstr>OutupMonth_List</vt:lpstr>
      <vt:lpstr>Progress_List</vt:lpstr>
      <vt:lpstr>ProgressCalculation_List</vt:lpstr>
      <vt:lpstr>Shortages_List</vt:lpstr>
      <vt:lpstr>Years_List</vt:lpstr>
    </vt:vector>
  </TitlesOfParts>
  <Company>Curtiss-Wright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Janda, Martin</dc:creator>
  <cp:lastModifiedBy>Martin</cp:lastModifiedBy>
  <cp:lastPrinted>2019-01-13T19:26:16Z</cp:lastPrinted>
  <dcterms:created xsi:type="dcterms:W3CDTF">2017-07-06T13:59:41Z</dcterms:created>
  <dcterms:modified xsi:type="dcterms:W3CDTF">2019-01-20T22:00:17Z</dcterms:modified>
</cp:coreProperties>
</file>