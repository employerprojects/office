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artin\Documents\"/>
    </mc:Choice>
  </mc:AlternateContent>
  <xr:revisionPtr revIDLastSave="0" documentId="13_ncr:1_{CE5FB11F-771E-42E9-BA99-483C5BFEFA67}" xr6:coauthVersionLast="40" xr6:coauthVersionMax="40" xr10:uidLastSave="{00000000-0000-0000-0000-000000000000}"/>
  <bookViews>
    <workbookView xWindow="0" yWindow="0" windowWidth="24000" windowHeight="9615" tabRatio="747" xr2:uid="{00000000-000D-0000-FFFF-FFFF00000000}"/>
  </bookViews>
  <sheets>
    <sheet name="Jobs" sheetId="1" r:id="rId1"/>
    <sheet name="How to use" sheetId="9" r:id="rId2"/>
    <sheet name="Columns description" sheetId="5" r:id="rId3"/>
    <sheet name="Lists" sheetId="2" r:id="rId4"/>
  </sheets>
  <definedNames>
    <definedName name="_xlnm._FilterDatabase" localSheetId="0" hidden="1">Jobs!$A$3:$D$4</definedName>
    <definedName name="_xlcn.WorksheetConnection_D46814Whiteboard.xlsmFailed_qry1" hidden="1">Failed_qry</definedName>
    <definedName name="_xlcn.WorksheetConnection_D46814Whiteboard.xlsmJobList_distinct__gry1" hidden="1">JobList_distinct_gry</definedName>
    <definedName name="_xlcn.WorksheetConnection_D46814Whiteboard.xlsmJobsSplit_qry1" hidden="1">JobsSplit_qry</definedName>
    <definedName name="Operator_List">Lists!$H$2:$H$5</definedName>
    <definedName name="OutupMonth_List">Lists!$M$2:$M$14</definedName>
    <definedName name="Progress_List">Lists!$A$2:$A$23</definedName>
    <definedName name="ProgressCalculation_List">Lists!$A$2:$F$23</definedName>
    <definedName name="Shortages_List">Lists!$J$3:$J$4</definedName>
    <definedName name="Years_List">Lists!$J$8:$J$12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JobsSplit_qry" name="JobsSplit_qry" connection="WorksheetConnection_D46814 White board.xlsm!JobsSplit_qry"/>
          <x15:modelTable id="JobList_distinct__gry" name="JobList_distinct__gry" connection="WorksheetConnection_D46814 White board.xlsm!JobList_distinct__gry"/>
          <x15:modelTable id="Failed_qry" name="Failed_qry" connection="WorksheetConnection_D46814 White board.xlsm!Failed_qry"/>
        </x15:modelTables>
        <x15:modelRelationships>
          <x15:modelRelationship fromTable="JobList_distinct__gry" fromColumn="Job" toTable="Failed_qry" toColumn="Job"/>
          <x15:modelRelationship fromTable="JobsSplit_qry" fromColumn="Job" toTable="JobList_distinct__gry" toColumn="Job"/>
        </x15:modelRelationships>
      </x15:dataModel>
    </ext>
  </extLst>
</workbook>
</file>

<file path=xl/calcChain.xml><?xml version="1.0" encoding="utf-8"?>
<calcChain xmlns="http://schemas.openxmlformats.org/spreadsheetml/2006/main">
  <c r="V4" i="1" l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U4" i="1"/>
  <c r="W4" i="1" s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X86" i="1" l="1"/>
  <c r="AB86" i="1"/>
  <c r="AA86" i="1"/>
  <c r="W86" i="1"/>
  <c r="X54" i="1"/>
  <c r="AB54" i="1"/>
  <c r="AA54" i="1"/>
  <c r="W54" i="1"/>
  <c r="X14" i="1"/>
  <c r="AB14" i="1"/>
  <c r="W14" i="1"/>
  <c r="AA14" i="1"/>
  <c r="AA101" i="1"/>
  <c r="X101" i="1"/>
  <c r="AB101" i="1"/>
  <c r="W101" i="1"/>
  <c r="AA69" i="1"/>
  <c r="X69" i="1"/>
  <c r="AB69" i="1"/>
  <c r="W69" i="1"/>
  <c r="W98" i="1"/>
  <c r="AB98" i="1"/>
  <c r="X98" i="1"/>
  <c r="AA98" i="1"/>
  <c r="W74" i="1"/>
  <c r="AB74" i="1"/>
  <c r="X74" i="1"/>
  <c r="AA74" i="1"/>
  <c r="W58" i="1"/>
  <c r="AB58" i="1"/>
  <c r="X58" i="1"/>
  <c r="AA58" i="1"/>
  <c r="AB34" i="1"/>
  <c r="W34" i="1"/>
  <c r="X34" i="1"/>
  <c r="AA34" i="1"/>
  <c r="W10" i="1"/>
  <c r="AB10" i="1"/>
  <c r="X10" i="1"/>
  <c r="AA10" i="1"/>
  <c r="W104" i="1"/>
  <c r="X104" i="1"/>
  <c r="AB104" i="1"/>
  <c r="AA104" i="1"/>
  <c r="W96" i="1"/>
  <c r="X96" i="1"/>
  <c r="AB96" i="1"/>
  <c r="AA96" i="1"/>
  <c r="W88" i="1"/>
  <c r="AB88" i="1"/>
  <c r="AA88" i="1"/>
  <c r="X88" i="1"/>
  <c r="W80" i="1"/>
  <c r="AB80" i="1"/>
  <c r="X80" i="1"/>
  <c r="AA80" i="1"/>
  <c r="W72" i="1"/>
  <c r="X72" i="1"/>
  <c r="AB72" i="1"/>
  <c r="AA72" i="1"/>
  <c r="W64" i="1"/>
  <c r="X64" i="1"/>
  <c r="AA64" i="1"/>
  <c r="AB64" i="1"/>
  <c r="W56" i="1"/>
  <c r="X56" i="1"/>
  <c r="AB56" i="1"/>
  <c r="AA56" i="1"/>
  <c r="W48" i="1"/>
  <c r="X48" i="1"/>
  <c r="AA48" i="1"/>
  <c r="AB48" i="1"/>
  <c r="W40" i="1"/>
  <c r="AA40" i="1"/>
  <c r="X40" i="1"/>
  <c r="AB40" i="1"/>
  <c r="W32" i="1"/>
  <c r="AB32" i="1"/>
  <c r="AA32" i="1"/>
  <c r="X32" i="1"/>
  <c r="W24" i="1"/>
  <c r="AB24" i="1"/>
  <c r="X24" i="1"/>
  <c r="AA24" i="1"/>
  <c r="W16" i="1"/>
  <c r="X16" i="1"/>
  <c r="AA16" i="1"/>
  <c r="AB16" i="1"/>
  <c r="W8" i="1"/>
  <c r="X8" i="1"/>
  <c r="AB8" i="1"/>
  <c r="AA8" i="1"/>
  <c r="X102" i="1"/>
  <c r="AB102" i="1"/>
  <c r="AA102" i="1"/>
  <c r="W102" i="1"/>
  <c r="X70" i="1"/>
  <c r="AB70" i="1"/>
  <c r="AA70" i="1"/>
  <c r="W70" i="1"/>
  <c r="X22" i="1"/>
  <c r="AB22" i="1"/>
  <c r="AA22" i="1"/>
  <c r="W22" i="1"/>
  <c r="AA85" i="1"/>
  <c r="X85" i="1"/>
  <c r="AB85" i="1"/>
  <c r="W85" i="1"/>
  <c r="AA53" i="1"/>
  <c r="X53" i="1"/>
  <c r="W53" i="1"/>
  <c r="AB53" i="1"/>
  <c r="AB90" i="1"/>
  <c r="W90" i="1"/>
  <c r="X90" i="1"/>
  <c r="AA90" i="1"/>
  <c r="AB66" i="1"/>
  <c r="W66" i="1"/>
  <c r="X66" i="1"/>
  <c r="AA66" i="1"/>
  <c r="W42" i="1"/>
  <c r="AB42" i="1"/>
  <c r="X42" i="1"/>
  <c r="AA42" i="1"/>
  <c r="AB18" i="1"/>
  <c r="W18" i="1"/>
  <c r="X18" i="1"/>
  <c r="AA18" i="1"/>
  <c r="W105" i="1"/>
  <c r="AA105" i="1"/>
  <c r="AB105" i="1"/>
  <c r="X105" i="1"/>
  <c r="W103" i="1"/>
  <c r="AB103" i="1"/>
  <c r="X103" i="1"/>
  <c r="AA103" i="1"/>
  <c r="W95" i="1"/>
  <c r="X95" i="1"/>
  <c r="AA95" i="1"/>
  <c r="AB95" i="1"/>
  <c r="W87" i="1"/>
  <c r="AB87" i="1"/>
  <c r="X87" i="1"/>
  <c r="AA87" i="1"/>
  <c r="W79" i="1"/>
  <c r="X79" i="1"/>
  <c r="AB79" i="1"/>
  <c r="AA79" i="1"/>
  <c r="W71" i="1"/>
  <c r="X71" i="1"/>
  <c r="AA71" i="1"/>
  <c r="AB71" i="1"/>
  <c r="W63" i="1"/>
  <c r="AB63" i="1"/>
  <c r="X63" i="1"/>
  <c r="AA63" i="1"/>
  <c r="W55" i="1"/>
  <c r="AB55" i="1"/>
  <c r="AA55" i="1"/>
  <c r="X55" i="1"/>
  <c r="W47" i="1"/>
  <c r="AA47" i="1"/>
  <c r="AB47" i="1"/>
  <c r="X47" i="1"/>
  <c r="W39" i="1"/>
  <c r="X39" i="1"/>
  <c r="AB39" i="1"/>
  <c r="AA39" i="1"/>
  <c r="W31" i="1"/>
  <c r="X31" i="1"/>
  <c r="AA31" i="1"/>
  <c r="AB31" i="1"/>
  <c r="W23" i="1"/>
  <c r="AA23" i="1"/>
  <c r="X23" i="1"/>
  <c r="AB23" i="1"/>
  <c r="W15" i="1"/>
  <c r="AB15" i="1"/>
  <c r="X15" i="1"/>
  <c r="AA15" i="1"/>
  <c r="W7" i="1"/>
  <c r="X7" i="1"/>
  <c r="AB7" i="1"/>
  <c r="AA7" i="1"/>
  <c r="X94" i="1"/>
  <c r="AB94" i="1"/>
  <c r="W94" i="1"/>
  <c r="AA94" i="1"/>
  <c r="X46" i="1"/>
  <c r="AB46" i="1"/>
  <c r="W46" i="1"/>
  <c r="AA46" i="1"/>
  <c r="X6" i="1"/>
  <c r="AB6" i="1"/>
  <c r="AA6" i="1"/>
  <c r="W6" i="1"/>
  <c r="X109" i="1"/>
  <c r="AA109" i="1"/>
  <c r="AB109" i="1"/>
  <c r="W109" i="1"/>
  <c r="X61" i="1"/>
  <c r="AA61" i="1"/>
  <c r="AB61" i="1"/>
  <c r="W61" i="1"/>
  <c r="AA37" i="1"/>
  <c r="X37" i="1"/>
  <c r="W37" i="1"/>
  <c r="AB37" i="1"/>
  <c r="AA21" i="1"/>
  <c r="X21" i="1"/>
  <c r="W21" i="1"/>
  <c r="AB21" i="1"/>
  <c r="AA5" i="1"/>
  <c r="X5" i="1"/>
  <c r="W5" i="1"/>
  <c r="AB5" i="1"/>
  <c r="X100" i="1"/>
  <c r="AB100" i="1"/>
  <c r="AA100" i="1"/>
  <c r="W100" i="1"/>
  <c r="X92" i="1"/>
  <c r="AB92" i="1"/>
  <c r="AA92" i="1"/>
  <c r="W92" i="1"/>
  <c r="X84" i="1"/>
  <c r="AB84" i="1"/>
  <c r="AA84" i="1"/>
  <c r="W84" i="1"/>
  <c r="X76" i="1"/>
  <c r="AB76" i="1"/>
  <c r="AA76" i="1"/>
  <c r="W76" i="1"/>
  <c r="X68" i="1"/>
  <c r="AB68" i="1"/>
  <c r="AA68" i="1"/>
  <c r="W68" i="1"/>
  <c r="X60" i="1"/>
  <c r="AB60" i="1"/>
  <c r="AA60" i="1"/>
  <c r="W60" i="1"/>
  <c r="X52" i="1"/>
  <c r="AB52" i="1"/>
  <c r="AA52" i="1"/>
  <c r="W52" i="1"/>
  <c r="X44" i="1"/>
  <c r="AB44" i="1"/>
  <c r="AA44" i="1"/>
  <c r="W44" i="1"/>
  <c r="X36" i="1"/>
  <c r="AB36" i="1"/>
  <c r="AA36" i="1"/>
  <c r="W36" i="1"/>
  <c r="X28" i="1"/>
  <c r="AB28" i="1"/>
  <c r="AA28" i="1"/>
  <c r="W28" i="1"/>
  <c r="X20" i="1"/>
  <c r="AB20" i="1"/>
  <c r="AA20" i="1"/>
  <c r="W20" i="1"/>
  <c r="X12" i="1"/>
  <c r="AB12" i="1"/>
  <c r="AA12" i="1"/>
  <c r="W12" i="1"/>
  <c r="X4" i="1"/>
  <c r="AB4" i="1"/>
  <c r="AA4" i="1"/>
  <c r="X110" i="1"/>
  <c r="AB110" i="1"/>
  <c r="W110" i="1"/>
  <c r="AA110" i="1"/>
  <c r="X62" i="1"/>
  <c r="AB62" i="1"/>
  <c r="AA62" i="1"/>
  <c r="W62" i="1"/>
  <c r="X30" i="1"/>
  <c r="AB30" i="1"/>
  <c r="AA30" i="1"/>
  <c r="W30" i="1"/>
  <c r="X93" i="1"/>
  <c r="AA93" i="1"/>
  <c r="AB93" i="1"/>
  <c r="W93" i="1"/>
  <c r="X45" i="1"/>
  <c r="AA45" i="1"/>
  <c r="AB45" i="1"/>
  <c r="W45" i="1"/>
  <c r="X29" i="1"/>
  <c r="AA29" i="1"/>
  <c r="AB29" i="1"/>
  <c r="W29" i="1"/>
  <c r="X13" i="1"/>
  <c r="AA13" i="1"/>
  <c r="W13" i="1"/>
  <c r="AB13" i="1"/>
  <c r="X108" i="1"/>
  <c r="AB108" i="1"/>
  <c r="AA108" i="1"/>
  <c r="W108" i="1"/>
  <c r="AA107" i="1"/>
  <c r="AB107" i="1"/>
  <c r="W107" i="1"/>
  <c r="X107" i="1"/>
  <c r="AA99" i="1"/>
  <c r="W99" i="1"/>
  <c r="AB99" i="1"/>
  <c r="X99" i="1"/>
  <c r="AA91" i="1"/>
  <c r="AB91" i="1"/>
  <c r="W91" i="1"/>
  <c r="X91" i="1"/>
  <c r="AA83" i="1"/>
  <c r="W83" i="1"/>
  <c r="AB83" i="1"/>
  <c r="X83" i="1"/>
  <c r="AA75" i="1"/>
  <c r="AB75" i="1"/>
  <c r="W75" i="1"/>
  <c r="X75" i="1"/>
  <c r="AA67" i="1"/>
  <c r="W67" i="1"/>
  <c r="AB67" i="1"/>
  <c r="X67" i="1"/>
  <c r="AA59" i="1"/>
  <c r="AB59" i="1"/>
  <c r="W59" i="1"/>
  <c r="X59" i="1"/>
  <c r="AA51" i="1"/>
  <c r="W51" i="1"/>
  <c r="AB51" i="1"/>
  <c r="X51" i="1"/>
  <c r="AA43" i="1"/>
  <c r="AB43" i="1"/>
  <c r="W43" i="1"/>
  <c r="X43" i="1"/>
  <c r="AA35" i="1"/>
  <c r="W35" i="1"/>
  <c r="AB35" i="1"/>
  <c r="X35" i="1"/>
  <c r="AA27" i="1"/>
  <c r="AB27" i="1"/>
  <c r="W27" i="1"/>
  <c r="X27" i="1"/>
  <c r="AA19" i="1"/>
  <c r="W19" i="1"/>
  <c r="AB19" i="1"/>
  <c r="X19" i="1"/>
  <c r="AA11" i="1"/>
  <c r="AB11" i="1"/>
  <c r="W11" i="1"/>
  <c r="X11" i="1"/>
  <c r="X78" i="1"/>
  <c r="AB78" i="1"/>
  <c r="W78" i="1"/>
  <c r="AA78" i="1"/>
  <c r="X38" i="1"/>
  <c r="AB38" i="1"/>
  <c r="AA38" i="1"/>
  <c r="W38" i="1"/>
  <c r="X77" i="1"/>
  <c r="AA77" i="1"/>
  <c r="AB77" i="1"/>
  <c r="W77" i="1"/>
  <c r="AB106" i="1"/>
  <c r="W106" i="1"/>
  <c r="X106" i="1"/>
  <c r="AA106" i="1"/>
  <c r="W82" i="1"/>
  <c r="AB82" i="1"/>
  <c r="X82" i="1"/>
  <c r="AA82" i="1"/>
  <c r="AB50" i="1"/>
  <c r="W50" i="1"/>
  <c r="X50" i="1"/>
  <c r="AA50" i="1"/>
  <c r="W26" i="1"/>
  <c r="AB26" i="1"/>
  <c r="X26" i="1"/>
  <c r="AA26" i="1"/>
  <c r="W97" i="1"/>
  <c r="AA97" i="1"/>
  <c r="X97" i="1"/>
  <c r="AB97" i="1"/>
  <c r="W89" i="1"/>
  <c r="AA89" i="1"/>
  <c r="X89" i="1"/>
  <c r="AB89" i="1"/>
  <c r="W81" i="1"/>
  <c r="AA81" i="1"/>
  <c r="X81" i="1"/>
  <c r="AB81" i="1"/>
  <c r="W73" i="1"/>
  <c r="AA73" i="1"/>
  <c r="AB73" i="1"/>
  <c r="X73" i="1"/>
  <c r="W65" i="1"/>
  <c r="AA65" i="1"/>
  <c r="AB65" i="1"/>
  <c r="X65" i="1"/>
  <c r="W57" i="1"/>
  <c r="AA57" i="1"/>
  <c r="X57" i="1"/>
  <c r="AB57" i="1"/>
  <c r="W49" i="1"/>
  <c r="AA49" i="1"/>
  <c r="AB49" i="1"/>
  <c r="X49" i="1"/>
  <c r="W41" i="1"/>
  <c r="AA41" i="1"/>
  <c r="AB41" i="1"/>
  <c r="X41" i="1"/>
  <c r="W33" i="1"/>
  <c r="AA33" i="1"/>
  <c r="AB33" i="1"/>
  <c r="X33" i="1"/>
  <c r="W25" i="1"/>
  <c r="AA25" i="1"/>
  <c r="X25" i="1"/>
  <c r="AB25" i="1"/>
  <c r="W17" i="1"/>
  <c r="AA17" i="1"/>
  <c r="AB17" i="1"/>
  <c r="X17" i="1"/>
  <c r="W9" i="1"/>
  <c r="AA9" i="1"/>
  <c r="X9" i="1"/>
  <c r="AB9" i="1"/>
  <c r="Y80" i="1"/>
  <c r="Z80" i="1"/>
  <c r="Y48" i="1"/>
  <c r="Z48" i="1"/>
  <c r="Y16" i="1"/>
  <c r="Z16" i="1"/>
  <c r="Y95" i="1"/>
  <c r="Z95" i="1"/>
  <c r="Z63" i="1"/>
  <c r="Y63" i="1"/>
  <c r="Y31" i="1"/>
  <c r="Z31" i="1"/>
  <c r="Y94" i="1"/>
  <c r="Z94" i="1"/>
  <c r="Y78" i="1"/>
  <c r="Z78" i="1"/>
  <c r="Y62" i="1"/>
  <c r="Z62" i="1"/>
  <c r="Y46" i="1"/>
  <c r="Z46" i="1"/>
  <c r="Y30" i="1"/>
  <c r="Z30" i="1"/>
  <c r="Y14" i="1"/>
  <c r="Z14" i="1"/>
  <c r="Y109" i="1"/>
  <c r="Z109" i="1"/>
  <c r="Y101" i="1"/>
  <c r="Z101" i="1"/>
  <c r="Y93" i="1"/>
  <c r="Z93" i="1"/>
  <c r="Z85" i="1"/>
  <c r="Y85" i="1"/>
  <c r="Y77" i="1"/>
  <c r="Z77" i="1"/>
  <c r="Y69" i="1"/>
  <c r="Z69" i="1"/>
  <c r="Y61" i="1"/>
  <c r="Z61" i="1"/>
  <c r="Z53" i="1"/>
  <c r="Y53" i="1"/>
  <c r="Y45" i="1"/>
  <c r="Z45" i="1"/>
  <c r="Y37" i="1"/>
  <c r="Z37" i="1"/>
  <c r="Z29" i="1"/>
  <c r="Y29" i="1"/>
  <c r="Y21" i="1"/>
  <c r="Z21" i="1"/>
  <c r="Z13" i="1"/>
  <c r="Y13" i="1"/>
  <c r="Y5" i="1"/>
  <c r="Z5" i="1"/>
  <c r="Y104" i="1"/>
  <c r="Z104" i="1"/>
  <c r="Z72" i="1"/>
  <c r="Y72" i="1"/>
  <c r="Y40" i="1"/>
  <c r="Z40" i="1"/>
  <c r="Z8" i="1"/>
  <c r="Y8" i="1"/>
  <c r="Z87" i="1"/>
  <c r="Y87" i="1"/>
  <c r="Y55" i="1"/>
  <c r="Z55" i="1"/>
  <c r="Y23" i="1"/>
  <c r="Z23" i="1"/>
  <c r="Y110" i="1"/>
  <c r="Z110" i="1"/>
  <c r="Y86" i="1"/>
  <c r="Z86" i="1"/>
  <c r="Y70" i="1"/>
  <c r="Z70" i="1"/>
  <c r="Y54" i="1"/>
  <c r="Z54" i="1"/>
  <c r="Y38" i="1"/>
  <c r="Z38" i="1"/>
  <c r="Y22" i="1"/>
  <c r="Z22" i="1"/>
  <c r="Y6" i="1"/>
  <c r="Z6" i="1"/>
  <c r="Y108" i="1"/>
  <c r="Z108" i="1"/>
  <c r="Z100" i="1"/>
  <c r="Y100" i="1"/>
  <c r="Y92" i="1"/>
  <c r="Z92" i="1"/>
  <c r="Y84" i="1"/>
  <c r="Z84" i="1"/>
  <c r="Z76" i="1"/>
  <c r="Y76" i="1"/>
  <c r="Y68" i="1"/>
  <c r="Z68" i="1"/>
  <c r="Y60" i="1"/>
  <c r="Z60" i="1"/>
  <c r="Z52" i="1"/>
  <c r="Y52" i="1"/>
  <c r="Y44" i="1"/>
  <c r="Z44" i="1"/>
  <c r="Y36" i="1"/>
  <c r="Z36" i="1"/>
  <c r="Z28" i="1"/>
  <c r="Y28" i="1"/>
  <c r="Y20" i="1"/>
  <c r="Z20" i="1"/>
  <c r="Y12" i="1"/>
  <c r="Z12" i="1"/>
  <c r="Y4" i="1"/>
  <c r="Z4" i="1"/>
  <c r="Y88" i="1"/>
  <c r="Z88" i="1"/>
  <c r="Y56" i="1"/>
  <c r="Z56" i="1"/>
  <c r="Z24" i="1"/>
  <c r="Y24" i="1"/>
  <c r="Y103" i="1"/>
  <c r="Z103" i="1"/>
  <c r="Y71" i="1"/>
  <c r="Z71" i="1"/>
  <c r="Z39" i="1"/>
  <c r="Y39" i="1"/>
  <c r="Z15" i="1"/>
  <c r="Y15" i="1"/>
  <c r="Y102" i="1"/>
  <c r="Z102" i="1"/>
  <c r="Z99" i="1"/>
  <c r="Y99" i="1"/>
  <c r="Z83" i="1"/>
  <c r="Y83" i="1"/>
  <c r="Z67" i="1"/>
  <c r="Y67" i="1"/>
  <c r="Z51" i="1"/>
  <c r="Y51" i="1"/>
  <c r="Z35" i="1"/>
  <c r="Y35" i="1"/>
  <c r="Z19" i="1"/>
  <c r="Y19" i="1"/>
  <c r="Y106" i="1"/>
  <c r="Z106" i="1"/>
  <c r="Z98" i="1"/>
  <c r="Y98" i="1"/>
  <c r="Z90" i="1"/>
  <c r="Y90" i="1"/>
  <c r="Y82" i="1"/>
  <c r="Z82" i="1"/>
  <c r="Z74" i="1"/>
  <c r="Y74" i="1"/>
  <c r="Z66" i="1"/>
  <c r="Y66" i="1"/>
  <c r="Y58" i="1"/>
  <c r="Z58" i="1"/>
  <c r="Z50" i="1"/>
  <c r="Y50" i="1"/>
  <c r="Y42" i="1"/>
  <c r="Z42" i="1"/>
  <c r="Z34" i="1"/>
  <c r="Y34" i="1"/>
  <c r="Z26" i="1"/>
  <c r="Y26" i="1"/>
  <c r="Z18" i="1"/>
  <c r="Y18" i="1"/>
  <c r="Z10" i="1"/>
  <c r="Y10" i="1"/>
  <c r="Y96" i="1"/>
  <c r="Z96" i="1"/>
  <c r="Y64" i="1"/>
  <c r="Z64" i="1"/>
  <c r="Y32" i="1"/>
  <c r="Z32" i="1"/>
  <c r="Y79" i="1"/>
  <c r="Z79" i="1"/>
  <c r="Y47" i="1"/>
  <c r="Z47" i="1"/>
  <c r="Y7" i="1"/>
  <c r="Z7" i="1"/>
  <c r="Z107" i="1"/>
  <c r="Y107" i="1"/>
  <c r="Z91" i="1"/>
  <c r="Y91" i="1"/>
  <c r="Z75" i="1"/>
  <c r="Y75" i="1"/>
  <c r="Z59" i="1"/>
  <c r="Y59" i="1"/>
  <c r="Y43" i="1"/>
  <c r="Z43" i="1"/>
  <c r="Z27" i="1"/>
  <c r="Y27" i="1"/>
  <c r="Z11" i="1"/>
  <c r="Y11" i="1"/>
  <c r="Z105" i="1"/>
  <c r="Y105" i="1"/>
  <c r="Z97" i="1"/>
  <c r="Y97" i="1"/>
  <c r="Z89" i="1"/>
  <c r="Y89" i="1"/>
  <c r="Z81" i="1"/>
  <c r="Y81" i="1"/>
  <c r="Z73" i="1"/>
  <c r="Y73" i="1"/>
  <c r="Z65" i="1"/>
  <c r="Y65" i="1"/>
  <c r="Z57" i="1"/>
  <c r="Y57" i="1"/>
  <c r="Z49" i="1"/>
  <c r="Y49" i="1"/>
  <c r="Z41" i="1"/>
  <c r="Y41" i="1"/>
  <c r="Z33" i="1"/>
  <c r="Y33" i="1"/>
  <c r="Z25" i="1"/>
  <c r="Y25" i="1"/>
  <c r="Z17" i="1"/>
  <c r="Y17" i="1"/>
  <c r="Z9" i="1"/>
  <c r="Y9" i="1"/>
  <c r="AC110" i="1"/>
  <c r="AC109" i="1"/>
  <c r="N17" i="2" l="1"/>
  <c r="AC4" i="1" l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O2" i="1" l="1"/>
  <c r="P60" i="1"/>
  <c r="P55" i="1"/>
  <c r="P81" i="1"/>
  <c r="P10" i="1"/>
  <c r="P87" i="1"/>
  <c r="P94" i="1"/>
  <c r="P96" i="1"/>
  <c r="P40" i="1"/>
  <c r="P107" i="1"/>
  <c r="P67" i="1"/>
  <c r="P38" i="1"/>
  <c r="P106" i="1"/>
  <c r="P93" i="1"/>
  <c r="P108" i="1"/>
  <c r="P15" i="1"/>
  <c r="P5" i="1"/>
  <c r="P89" i="1"/>
  <c r="P16" i="1"/>
  <c r="P110" i="1"/>
  <c r="P47" i="1"/>
  <c r="P4" i="1"/>
  <c r="P49" i="1"/>
  <c r="P76" i="1"/>
  <c r="P58" i="1"/>
  <c r="P75" i="1"/>
  <c r="P56" i="1"/>
  <c r="P42" i="1"/>
  <c r="P14" i="1"/>
  <c r="P19" i="1"/>
  <c r="P57" i="1"/>
  <c r="P28" i="1"/>
  <c r="P32" i="1"/>
  <c r="P30" i="1"/>
  <c r="P33" i="1"/>
  <c r="P46" i="1"/>
  <c r="P95" i="1"/>
  <c r="P64" i="1"/>
  <c r="P23" i="1"/>
  <c r="P109" i="1"/>
  <c r="P9" i="1"/>
  <c r="P39" i="1"/>
  <c r="P65" i="1"/>
  <c r="P103" i="1"/>
  <c r="P18" i="1"/>
  <c r="P51" i="1"/>
  <c r="P48" i="1"/>
  <c r="P92" i="1"/>
  <c r="P21" i="1"/>
  <c r="P104" i="1"/>
  <c r="P20" i="1"/>
  <c r="P37" i="1"/>
  <c r="P105" i="1"/>
  <c r="P43" i="1"/>
  <c r="P101" i="1"/>
  <c r="P41" i="1"/>
  <c r="P68" i="1"/>
  <c r="P99" i="1"/>
  <c r="P13" i="1"/>
  <c r="P12" i="1"/>
  <c r="P59" i="1"/>
  <c r="P71" i="1"/>
  <c r="P70" i="1"/>
  <c r="P98" i="1"/>
  <c r="P85" i="1"/>
  <c r="P69" i="1"/>
  <c r="B24" i="2" l="1"/>
  <c r="F2" i="2"/>
  <c r="O12" i="1"/>
  <c r="P74" i="1"/>
  <c r="P35" i="1"/>
  <c r="P29" i="1"/>
  <c r="O28" i="1"/>
  <c r="O89" i="1"/>
  <c r="P77" i="1"/>
  <c r="P91" i="1"/>
  <c r="P22" i="1"/>
  <c r="O110" i="1"/>
  <c r="O10" i="1"/>
  <c r="P50" i="1"/>
  <c r="O95" i="1"/>
  <c r="P8" i="1"/>
  <c r="P26" i="1"/>
  <c r="O64" i="1"/>
  <c r="O109" i="1"/>
  <c r="O57" i="1"/>
  <c r="P6" i="1"/>
  <c r="P34" i="1"/>
  <c r="O38" i="1"/>
  <c r="O94" i="1"/>
  <c r="P66" i="1"/>
  <c r="O104" i="1"/>
  <c r="O101" i="1"/>
  <c r="P11" i="1"/>
  <c r="O93" i="1"/>
  <c r="P36" i="1"/>
  <c r="P52" i="1"/>
  <c r="O58" i="1"/>
  <c r="P44" i="1"/>
  <c r="O42" i="1"/>
  <c r="O49" i="1"/>
  <c r="O13" i="1"/>
  <c r="O43" i="1"/>
  <c r="O60" i="1"/>
  <c r="O76" i="1"/>
  <c r="O107" i="1"/>
  <c r="O9" i="1"/>
  <c r="O41" i="1"/>
  <c r="O47" i="1"/>
  <c r="O98" i="1"/>
  <c r="P86" i="1"/>
  <c r="O99" i="1"/>
  <c r="O39" i="1"/>
  <c r="O21" i="1"/>
  <c r="O105" i="1"/>
  <c r="O68" i="1"/>
  <c r="P53" i="1"/>
  <c r="P97" i="1"/>
  <c r="P7" i="1"/>
  <c r="P54" i="1"/>
  <c r="P88" i="1"/>
  <c r="O14" i="1"/>
  <c r="O71" i="1"/>
  <c r="P27" i="1"/>
  <c r="P83" i="1"/>
  <c r="O20" i="1"/>
  <c r="O92" i="1"/>
  <c r="P24" i="1"/>
  <c r="O75" i="1"/>
  <c r="P45" i="1"/>
  <c r="P17" i="1"/>
  <c r="P84" i="1"/>
  <c r="O37" i="1"/>
  <c r="P79" i="1"/>
  <c r="P72" i="1"/>
  <c r="O106" i="1"/>
  <c r="O69" i="1"/>
  <c r="O33" i="1"/>
  <c r="P61" i="1"/>
  <c r="O108" i="1"/>
  <c r="O55" i="1"/>
  <c r="O18" i="1"/>
  <c r="P31" i="1"/>
  <c r="P62" i="1"/>
  <c r="O103" i="1"/>
  <c r="O19" i="1"/>
  <c r="O5" i="1"/>
  <c r="O51" i="1"/>
  <c r="O40" i="1"/>
  <c r="O65" i="1"/>
  <c r="P80" i="1"/>
  <c r="O23" i="1"/>
  <c r="O59" i="1"/>
  <c r="O67" i="1"/>
  <c r="P100" i="1"/>
  <c r="O32" i="1"/>
  <c r="O56" i="1"/>
  <c r="O16" i="1"/>
  <c r="P25" i="1"/>
  <c r="O30" i="1"/>
  <c r="P78" i="1"/>
  <c r="O46" i="1"/>
  <c r="P102" i="1"/>
  <c r="P82" i="1"/>
  <c r="P90" i="1"/>
  <c r="O87" i="1"/>
  <c r="O4" i="1"/>
  <c r="O48" i="1"/>
  <c r="O85" i="1"/>
  <c r="O81" i="1"/>
  <c r="O96" i="1"/>
  <c r="P63" i="1"/>
  <c r="P73" i="1"/>
  <c r="O15" i="1"/>
  <c r="O70" i="1"/>
  <c r="H66" i="1" l="1"/>
  <c r="H67" i="1"/>
  <c r="F3" i="2"/>
  <c r="O82" i="1"/>
  <c r="O27" i="1"/>
  <c r="O74" i="1"/>
  <c r="O26" i="1"/>
  <c r="O91" i="1"/>
  <c r="O24" i="1"/>
  <c r="O35" i="1"/>
  <c r="O78" i="1"/>
  <c r="O17" i="1"/>
  <c r="O73" i="1"/>
  <c r="O53" i="1"/>
  <c r="O6" i="1"/>
  <c r="O25" i="1"/>
  <c r="O45" i="1"/>
  <c r="O8" i="1"/>
  <c r="O62" i="1"/>
  <c r="O22" i="1"/>
  <c r="O31" i="1"/>
  <c r="O34" i="1"/>
  <c r="O97" i="1"/>
  <c r="O88" i="1"/>
  <c r="O86" i="1"/>
  <c r="O79" i="1"/>
  <c r="O54" i="1"/>
  <c r="O100" i="1"/>
  <c r="O29" i="1"/>
  <c r="O84" i="1"/>
  <c r="O36" i="1"/>
  <c r="O80" i="1"/>
  <c r="O52" i="1"/>
  <c r="O90" i="1"/>
  <c r="O102" i="1"/>
  <c r="O44" i="1"/>
  <c r="O72" i="1"/>
  <c r="O83" i="1"/>
  <c r="O61" i="1"/>
  <c r="O11" i="1"/>
  <c r="O77" i="1"/>
  <c r="O63" i="1"/>
  <c r="O66" i="1"/>
  <c r="O50" i="1"/>
  <c r="O7" i="1"/>
  <c r="H110" i="1" l="1"/>
  <c r="H109" i="1"/>
  <c r="H108" i="1"/>
  <c r="H107" i="1"/>
  <c r="D24" i="2" l="1"/>
  <c r="E22" i="2" s="1"/>
  <c r="E10" i="2" l="1"/>
  <c r="E19" i="2"/>
  <c r="E18" i="2"/>
  <c r="E20" i="2"/>
  <c r="E14" i="2"/>
  <c r="E3" i="2"/>
  <c r="F4" i="2" s="1"/>
  <c r="E17" i="2"/>
  <c r="E13" i="2"/>
  <c r="E9" i="2"/>
  <c r="E5" i="2"/>
  <c r="E23" i="2"/>
  <c r="E16" i="2"/>
  <c r="E12" i="2"/>
  <c r="E8" i="2"/>
  <c r="E4" i="2"/>
  <c r="E21" i="2"/>
  <c r="E15" i="2"/>
  <c r="E11" i="2"/>
  <c r="E7" i="2"/>
  <c r="E24" i="2"/>
  <c r="E6" i="2"/>
  <c r="C22" i="2"/>
  <c r="C21" i="2" l="1"/>
  <c r="C18" i="2"/>
  <c r="C19" i="2"/>
  <c r="F5" i="2"/>
  <c r="C4" i="2"/>
  <c r="C12" i="2"/>
  <c r="C23" i="2"/>
  <c r="C5" i="2"/>
  <c r="C13" i="2"/>
  <c r="C8" i="2"/>
  <c r="C16" i="2"/>
  <c r="C9" i="2"/>
  <c r="C17" i="2"/>
  <c r="C6" i="2"/>
  <c r="C10" i="2"/>
  <c r="C14" i="2"/>
  <c r="C20" i="2"/>
  <c r="C3" i="2"/>
  <c r="C7" i="2"/>
  <c r="C11" i="2"/>
  <c r="C15" i="2"/>
  <c r="F6" i="2" l="1"/>
  <c r="C24" i="2"/>
  <c r="F7" i="2" l="1"/>
  <c r="F8" i="2" s="1"/>
  <c r="F9" i="2" l="1"/>
  <c r="F10" i="2" s="1"/>
  <c r="F11" i="2" l="1"/>
  <c r="F12" i="2" l="1"/>
  <c r="F13" i="2" s="1"/>
  <c r="H105" i="1"/>
  <c r="H106" i="1" l="1"/>
  <c r="F14" i="2"/>
  <c r="F15" i="2" s="1"/>
  <c r="F16" i="2" s="1"/>
  <c r="F17" i="2" s="1"/>
  <c r="F18" i="2" s="1"/>
  <c r="H103" i="1" l="1"/>
  <c r="F19" i="2"/>
  <c r="F20" i="2" s="1"/>
  <c r="F21" i="2" s="1"/>
  <c r="F23" i="2" s="1"/>
  <c r="H102" i="1" l="1"/>
  <c r="H104" i="1"/>
  <c r="F22" i="2"/>
  <c r="H100" i="1"/>
  <c r="H98" i="1"/>
  <c r="H96" i="1"/>
  <c r="H101" i="1"/>
  <c r="H99" i="1"/>
  <c r="H97" i="1"/>
  <c r="H95" i="1"/>
  <c r="H93" i="1"/>
  <c r="H94" i="1"/>
  <c r="H92" i="1"/>
  <c r="H90" i="1"/>
  <c r="H91" i="1"/>
  <c r="H89" i="1"/>
  <c r="H87" i="1"/>
  <c r="H88" i="1"/>
  <c r="H86" i="1"/>
  <c r="H85" i="1"/>
  <c r="H84" i="1"/>
  <c r="H83" i="1"/>
  <c r="H82" i="1"/>
  <c r="H80" i="1"/>
  <c r="H81" i="1"/>
  <c r="H79" i="1"/>
  <c r="H77" i="1"/>
  <c r="H78" i="1"/>
  <c r="H74" i="1"/>
  <c r="H73" i="1"/>
  <c r="H75" i="1"/>
  <c r="H76" i="1"/>
  <c r="H4" i="1"/>
  <c r="H8" i="1"/>
  <c r="H12" i="1"/>
  <c r="H16" i="1"/>
  <c r="H20" i="1"/>
  <c r="H24" i="1"/>
  <c r="H28" i="1"/>
  <c r="H32" i="1"/>
  <c r="H36" i="1"/>
  <c r="H40" i="1"/>
  <c r="H44" i="1"/>
  <c r="H48" i="1"/>
  <c r="H52" i="1"/>
  <c r="H56" i="1"/>
  <c r="H60" i="1"/>
  <c r="H64" i="1"/>
  <c r="H68" i="1"/>
  <c r="H72" i="1"/>
  <c r="H25" i="1"/>
  <c r="H33" i="1"/>
  <c r="H41" i="1"/>
  <c r="H45" i="1"/>
  <c r="H53" i="1"/>
  <c r="H61" i="1"/>
  <c r="H69" i="1"/>
  <c r="H55" i="1"/>
  <c r="H71" i="1"/>
  <c r="H5" i="1"/>
  <c r="H9" i="1"/>
  <c r="H13" i="1"/>
  <c r="H17" i="1"/>
  <c r="H21" i="1"/>
  <c r="H29" i="1"/>
  <c r="H37" i="1"/>
  <c r="H49" i="1"/>
  <c r="H57" i="1"/>
  <c r="H65" i="1"/>
  <c r="H7" i="1"/>
  <c r="H15" i="1"/>
  <c r="H23" i="1"/>
  <c r="H31" i="1"/>
  <c r="H39" i="1"/>
  <c r="H51" i="1"/>
  <c r="H63" i="1"/>
  <c r="H6" i="1"/>
  <c r="H10" i="1"/>
  <c r="H14" i="1"/>
  <c r="H18" i="1"/>
  <c r="H22" i="1"/>
  <c r="H26" i="1"/>
  <c r="H30" i="1"/>
  <c r="H34" i="1"/>
  <c r="H38" i="1"/>
  <c r="H42" i="1"/>
  <c r="H46" i="1"/>
  <c r="H50" i="1"/>
  <c r="H54" i="1"/>
  <c r="H58" i="1"/>
  <c r="H62" i="1"/>
  <c r="H70" i="1"/>
  <c r="H11" i="1"/>
  <c r="H19" i="1"/>
  <c r="H27" i="1"/>
  <c r="H35" i="1"/>
  <c r="H43" i="1"/>
  <c r="H47" i="1"/>
  <c r="H5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Janda, Martin</author>
  </authors>
  <commentList>
    <comment ref="O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Sum of Qty out.
Prediction included.</t>
        </r>
      </text>
    </comment>
    <comment ref="D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Any shortage - select Yes.
After ALL shortages are filled - select - NO.
Filled shortage has got date for each part in Shortage filled date column.</t>
        </r>
      </text>
    </comment>
    <comment ref="E3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List of shortages.
Each part own line.
New line Alt+Enter.</t>
        </r>
      </text>
    </comment>
    <comment ref="F3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Date shortage was filled.
Each part own line.
New line Alt+Enter.</t>
        </r>
      </text>
    </comment>
    <comment ref="G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Select operation in progress or just has progressed.
Do not move here before you move in real.</t>
        </r>
      </text>
    </comment>
    <comment ref="I3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Last or current operator on job. Select from list.</t>
        </r>
      </text>
    </comment>
    <comment ref="K3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Batch size - Failed.</t>
        </r>
      </text>
    </comment>
    <comment ref="L3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For each unit give reason.</t>
        </r>
      </text>
    </comment>
    <comment ref="N3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Messages to and from team leader.
Other notes.
</t>
        </r>
      </text>
    </comment>
    <comment ref="O3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Do not insert values. Calculated field.
How many units are still required for the period.
</t>
        </r>
      </text>
    </comment>
    <comment ref="P3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Do not insert values. Calculated field.
How many units have been assembled in the period. Prediction of the most likely assembled units is included.</t>
        </r>
      </text>
    </comment>
    <comment ref="Q3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how many units are in stock in the beginning of the period.</t>
        </r>
      </text>
    </comment>
    <comment ref="R3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Number of units to be built in the period. (Prediction is better then nothing.)</t>
        </r>
      </text>
    </comment>
    <comment ref="S3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Period - month.</t>
        </r>
      </text>
    </comment>
    <comment ref="T3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Period - year.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2000000}" name="WorksheetConnection_D46814 White board.xlsm!Failed_qry" type="102" refreshedVersion="6" minRefreshableVersion="5">
    <extLst>
      <ext xmlns:x15="http://schemas.microsoft.com/office/spreadsheetml/2010/11/main" uri="{DE250136-89BD-433C-8126-D09CA5730AF9}">
        <x15:connection id="Failed_qry">
          <x15:rangePr sourceName="_xlcn.WorksheetConnection_D46814Whiteboard.xlsmFailed_qry1"/>
        </x15:connection>
      </ext>
    </extLst>
  </connection>
  <connection id="3" xr16:uid="{00000000-0015-0000-FFFF-FFFF03000000}" name="WorksheetConnection_D46814 White board.xlsm!JobList_distinct__gry" type="102" refreshedVersion="6" minRefreshableVersion="5">
    <extLst>
      <ext xmlns:x15="http://schemas.microsoft.com/office/spreadsheetml/2010/11/main" uri="{DE250136-89BD-433C-8126-D09CA5730AF9}">
        <x15:connection id="JobList_distinct__gry">
          <x15:rangePr sourceName="_xlcn.WorksheetConnection_D46814Whiteboard.xlsmJobList_distinct__gry1"/>
        </x15:connection>
      </ext>
    </extLst>
  </connection>
  <connection id="4" xr16:uid="{00000000-0015-0000-FFFF-FFFF04000000}" name="WorksheetConnection_D46814 White board.xlsm!JobsSplit_qry" type="102" refreshedVersion="6" minRefreshableVersion="5">
    <extLst>
      <ext xmlns:x15="http://schemas.microsoft.com/office/spreadsheetml/2010/11/main" uri="{DE250136-89BD-433C-8126-D09CA5730AF9}">
        <x15:connection id="JobsSplit_qry">
          <x15:rangePr sourceName="_xlcn.WorksheetConnection_D46814Whiteboard.xlsmJobsSplit_qry1"/>
        </x15:connection>
      </ext>
    </extLst>
  </connection>
</connections>
</file>

<file path=xl/sharedStrings.xml><?xml version="1.0" encoding="utf-8"?>
<sst xmlns="http://schemas.openxmlformats.org/spreadsheetml/2006/main" count="800" uniqueCount="358">
  <si>
    <t>KX</t>
  </si>
  <si>
    <t>Batch</t>
  </si>
  <si>
    <t>Progress</t>
  </si>
  <si>
    <t>Shortages</t>
  </si>
  <si>
    <t>Yes</t>
  </si>
  <si>
    <t>No</t>
  </si>
  <si>
    <t>Note</t>
  </si>
  <si>
    <t>Job</t>
  </si>
  <si>
    <t>KX143295</t>
  </si>
  <si>
    <t>Booked in</t>
  </si>
  <si>
    <t>Out qty</t>
  </si>
  <si>
    <t>winding pairs x8</t>
  </si>
  <si>
    <t>Short of…</t>
  </si>
  <si>
    <t>winding pairs x1</t>
  </si>
  <si>
    <t>10. Welding</t>
  </si>
  <si>
    <t>11. Welding done</t>
  </si>
  <si>
    <t>12. Heatcycling</t>
  </si>
  <si>
    <t>13. Heatcycling done</t>
  </si>
  <si>
    <t>01. Job booked to cell</t>
  </si>
  <si>
    <t>02. Initial build</t>
  </si>
  <si>
    <t>03. Initial build done</t>
  </si>
  <si>
    <t>04. RTV</t>
  </si>
  <si>
    <t>05. RTV done</t>
  </si>
  <si>
    <t>06. Powder potting</t>
  </si>
  <si>
    <t>07. Powder potting done</t>
  </si>
  <si>
    <t>08. Stycast</t>
  </si>
  <si>
    <t>09. Stycast done</t>
  </si>
  <si>
    <t>Out by</t>
  </si>
  <si>
    <t>31.7.2017</t>
  </si>
  <si>
    <t>RTV (in)</t>
  </si>
  <si>
    <t>winding pair x1</t>
  </si>
  <si>
    <t>% done</t>
  </si>
  <si>
    <t>Cumulative</t>
  </si>
  <si>
    <t>Hours.Minutes (decimal)</t>
  </si>
  <si>
    <t>Adjusted</t>
  </si>
  <si>
    <t>winding pairs x6</t>
  </si>
  <si>
    <t>14. ATP - rig test</t>
  </si>
  <si>
    <t>15. ATP - rig test done</t>
  </si>
  <si>
    <t>failed winding , dielectric, requested, received, unit 7 English winding</t>
  </si>
  <si>
    <t>16. ATP - finalizing</t>
  </si>
  <si>
    <t>17. ATP - finalizing done</t>
  </si>
  <si>
    <t>19. Despatch</t>
  </si>
  <si>
    <t>20. Out</t>
  </si>
  <si>
    <t>20. Fail</t>
  </si>
  <si>
    <t>cases x8</t>
  </si>
  <si>
    <t>First 6 units English windings,
Support cable from next batch, Paperwork 17-04-493, In cell 17-05-437</t>
  </si>
  <si>
    <t>Support cable from next batch, Paperwork 17-04-493, In cell 17-05-437</t>
  </si>
  <si>
    <t>Support cable from next batch, Paperwork 17-04-493, In cell 17-05-437
welding skipped</t>
  </si>
  <si>
    <t>waiting for rig since 4.9. 10:00, rig free 6.9. 9:00
5 people refused to customerize, no progress</t>
  </si>
  <si>
    <t>How to use this workbook</t>
  </si>
  <si>
    <t>Job number</t>
  </si>
  <si>
    <t>Explanation</t>
  </si>
  <si>
    <t>Number of units per job</t>
  </si>
  <si>
    <t>How far job has progressed</t>
  </si>
  <si>
    <t>Stages do (loosely) follow build process sheet</t>
  </si>
  <si>
    <t>Progress in percent</t>
  </si>
  <si>
    <t>Expected output date</t>
  </si>
  <si>
    <t>Number of units for output</t>
  </si>
  <si>
    <t>Yes / No</t>
  </si>
  <si>
    <t>Short of</t>
  </si>
  <si>
    <t>Yellow background indicates important columns</t>
  </si>
  <si>
    <t>Description</t>
  </si>
  <si>
    <t>sleeving
nut fine pitch x16</t>
  </si>
  <si>
    <t>24/08/2017
13/09/2017</t>
  </si>
  <si>
    <t>sleeving
nut fine pitch x8</t>
  </si>
  <si>
    <t>24/08/2017
14/09/2017</t>
  </si>
  <si>
    <t>1 unit odd presure tube, Jason ok,
Support cable from next batch, Paperwork 17-04-493, In cell 17-05-437
in oven 14/9/2017 11:40</t>
  </si>
  <si>
    <r>
      <t xml:space="preserve">need w/c 25 Sept
</t>
    </r>
    <r>
      <rPr>
        <sz val="11"/>
        <rFont val="Calibri"/>
        <family val="2"/>
        <scheme val="minor"/>
      </rPr>
      <t>in oven 14/9/2017 11:40</t>
    </r>
  </si>
  <si>
    <t>14/09/2017
13/09/2017
13/09/2017
13/09/2017
13/09/2017</t>
  </si>
  <si>
    <r>
      <rPr>
        <strike/>
        <sz val="11"/>
        <color theme="1"/>
        <rFont val="Calibri"/>
        <family val="2"/>
        <scheme val="minor"/>
      </rPr>
      <t>body x1 ok</t>
    </r>
    <r>
      <rPr>
        <sz val="11"/>
        <color theme="1"/>
        <rFont val="Calibri"/>
        <family val="2"/>
        <scheme val="minor"/>
      </rPr>
      <t xml:space="preserve">
</t>
    </r>
    <r>
      <rPr>
        <strike/>
        <sz val="11"/>
        <color theme="1"/>
        <rFont val="Calibri"/>
        <family val="2"/>
        <scheme val="minor"/>
      </rPr>
      <t>tab washer x3
nut fine pitch x16
sleeve
winding x8</t>
    </r>
  </si>
  <si>
    <t>cases x8 - ok
winding pair x1 - ok</t>
  </si>
  <si>
    <t>14/09/2017
25/09/2017</t>
  </si>
  <si>
    <r>
      <t xml:space="preserve">need w/c 25 Sept
</t>
    </r>
    <r>
      <rPr>
        <sz val="11"/>
        <rFont val="Calibri"/>
        <family val="2"/>
        <scheme val="minor"/>
      </rPr>
      <t xml:space="preserve">welding skipped - done
in oven 21/9/2017 15:00
</t>
    </r>
    <r>
      <rPr>
        <sz val="11"/>
        <color rgb="FFFF0000"/>
        <rFont val="Calibri"/>
        <family val="2"/>
        <scheme val="minor"/>
      </rPr>
      <t>waiting for rig since 26/9/17 9am till 27/9/17 9:30</t>
    </r>
  </si>
  <si>
    <r>
      <t xml:space="preserve">need w/c 25 Sept
</t>
    </r>
    <r>
      <rPr>
        <sz val="11"/>
        <rFont val="Calibri"/>
        <family val="2"/>
        <scheme val="minor"/>
      </rPr>
      <t xml:space="preserve">in oven 21/9/2017 15:00
</t>
    </r>
    <r>
      <rPr>
        <sz val="11"/>
        <color rgb="FFFF0000"/>
        <rFont val="Calibri"/>
        <family val="2"/>
        <scheme val="minor"/>
      </rPr>
      <t>waiting for rig since 26/9/17 9am till 27/9/17 9:30</t>
    </r>
  </si>
  <si>
    <t>Fail reason</t>
  </si>
  <si>
    <t>Output month</t>
  </si>
  <si>
    <t>October</t>
  </si>
  <si>
    <t>Body welded with incorrect part, IRN. 28108, corrected</t>
  </si>
  <si>
    <t>originally 20/10/2107</t>
  </si>
  <si>
    <t>Oven loaded 6/9/2017 am,
Monday 9/10/2017 1st cycle still running, 
Jason informed</t>
  </si>
  <si>
    <t>body x7 - ok
sleeve ch A - ok</t>
  </si>
  <si>
    <t>body x8 - ok
nut fine pitch x8
sleeve ch A - ok</t>
  </si>
  <si>
    <t>06/10/2017
09/10/2017</t>
  </si>
  <si>
    <t>Oven loaded 6/9/2017 am with output 13/10/2107,
Monday 9/10/2017 1st cycle still running, 
Jason informed, output resheduled</t>
  </si>
  <si>
    <t>No output for week starting 02/10/2017! Monday morning oven only 1 cycle of 12 done
oven finished 6/10/2017
rescheduled to following week
Waiting for test rig 10/10/2017 14:00 - 11/10/2017 9:00, plus 1 hour printer repair</t>
  </si>
  <si>
    <r>
      <t xml:space="preserve">cases @ pressure test 32off -cleared,
windings with incorrect paperwork, winding re-tested to be too far apart each other - windings replaced
</t>
    </r>
    <r>
      <rPr>
        <sz val="11"/>
        <color rgb="FFFF0000"/>
        <rFont val="Calibri"/>
        <family val="2"/>
        <scheme val="minor"/>
      </rPr>
      <t>No output for week starting 02/10/2017! Monday morning oven only 1 cycle of 12 done
oven finished 6/10/2017
rescheduled to following week
waiting 2 hours for paperwork</t>
    </r>
  </si>
  <si>
    <t>18/10/2017
18/10/2017</t>
  </si>
  <si>
    <t>Washer tab 1x - ok
Sleeve ch B 2.76" - ok</t>
  </si>
  <si>
    <t>November</t>
  </si>
  <si>
    <t>06/10/2017
06/10/2017
09/10/2017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</si>
  <si>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</si>
  <si>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</si>
  <si>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</si>
  <si>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</si>
  <si>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</si>
  <si>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</si>
  <si>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</si>
  <si>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</si>
  <si>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</si>
  <si>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December</t>
  </si>
  <si>
    <t>Output months</t>
  </si>
  <si>
    <t>windings do not fit bodies</t>
  </si>
  <si>
    <t>windings do not fit bodies
1 winding failed initial dielectric strength test, winding pair replaced</t>
  </si>
  <si>
    <t xml:space="preserve">unit 1 stiff winding tube on body's presure tube
</t>
  </si>
  <si>
    <t>1x body presure tubes oversized or winding tubes undersizes</t>
  </si>
  <si>
    <t>KX143324</t>
  </si>
  <si>
    <t>KX143357</t>
  </si>
  <si>
    <t>KX143214</t>
  </si>
  <si>
    <t>KX143148</t>
  </si>
  <si>
    <t>KX143149</t>
  </si>
  <si>
    <t>KX143213</t>
  </si>
  <si>
    <t>KX143373</t>
  </si>
  <si>
    <t>KX143374</t>
  </si>
  <si>
    <t>KX143375</t>
  </si>
  <si>
    <t>KX143447</t>
  </si>
  <si>
    <t>KX143618</t>
  </si>
  <si>
    <t>KX143619</t>
  </si>
  <si>
    <t>KX143646</t>
  </si>
  <si>
    <t>KX143645</t>
  </si>
  <si>
    <t>KX143647</t>
  </si>
  <si>
    <t>KX143925</t>
  </si>
  <si>
    <t>KX143926</t>
  </si>
  <si>
    <t>KX143927</t>
  </si>
  <si>
    <t>KXHX10</t>
  </si>
  <si>
    <t>KX144071</t>
  </si>
  <si>
    <t>KX144072</t>
  </si>
  <si>
    <t>KX144073</t>
  </si>
  <si>
    <t>KX144314</t>
  </si>
  <si>
    <t>KX144315</t>
  </si>
  <si>
    <t>KX144316</t>
  </si>
  <si>
    <t>KX144317</t>
  </si>
  <si>
    <t>KX144464</t>
  </si>
  <si>
    <t>KX144465</t>
  </si>
  <si>
    <t>KX144466</t>
  </si>
  <si>
    <t>KX144622</t>
  </si>
  <si>
    <t>KX144623</t>
  </si>
  <si>
    <t>KX144764</t>
  </si>
  <si>
    <t>KX144765</t>
  </si>
  <si>
    <t>KX144819</t>
  </si>
  <si>
    <t>KX144820</t>
  </si>
  <si>
    <t>KX144821</t>
  </si>
  <si>
    <t>KX144822</t>
  </si>
  <si>
    <t>KX144898</t>
  </si>
  <si>
    <t>KX144899</t>
  </si>
  <si>
    <t>KX144962</t>
  </si>
  <si>
    <t>JSC000256</t>
  </si>
  <si>
    <t>JSC000257</t>
  </si>
  <si>
    <t>reaming winding tubes x6 to 5.05 mm, all reamed</t>
  </si>
  <si>
    <t>JSC000464</t>
  </si>
  <si>
    <t>JSC000549</t>
  </si>
  <si>
    <t>JSC000550</t>
  </si>
  <si>
    <t>JSC000551</t>
  </si>
  <si>
    <t>body x7 - ok</t>
  </si>
  <si>
    <t>body x8 - ok</t>
  </si>
  <si>
    <t>JSC000672</t>
  </si>
  <si>
    <t xml:space="preserve">windings waiting for relacement, ok
</t>
  </si>
  <si>
    <t>windings waiting for relacement - ok</t>
  </si>
  <si>
    <t>JSC000717</t>
  </si>
  <si>
    <t>JSC000718</t>
  </si>
  <si>
    <t>JSC000738</t>
  </si>
  <si>
    <t>cable suport x8 - ok</t>
  </si>
  <si>
    <t>JSC000739</t>
  </si>
  <si>
    <t>18. Final inspection</t>
  </si>
  <si>
    <t>welding skipped - done</t>
  </si>
  <si>
    <t>JSC000831</t>
  </si>
  <si>
    <t>Shortage filled</t>
  </si>
  <si>
    <t>end of day</t>
  </si>
  <si>
    <t>JSC1144</t>
  </si>
  <si>
    <t>JSC1145</t>
  </si>
  <si>
    <t>tab washer x8 - ok</t>
  </si>
  <si>
    <t>JSC1238</t>
  </si>
  <si>
    <t>Time [% of sum]</t>
  </si>
  <si>
    <t>most liketly will not make it - no rig, so it will slip to 31/01/2018</t>
  </si>
  <si>
    <t>welding skipped</t>
  </si>
  <si>
    <t>JSC1270</t>
  </si>
  <si>
    <t>JSC1271</t>
  </si>
  <si>
    <t xml:space="preserve"> </t>
  </si>
  <si>
    <t>23/01/2018
31/01/2018
22/01/2018</t>
  </si>
  <si>
    <t>cable suport x8 - ok
washer x3 - ok
body x7 - ok</t>
  </si>
  <si>
    <t>nut fine pitch x16</t>
  </si>
  <si>
    <t>nut fine pitch x6</t>
  </si>
  <si>
    <t>JSC1345</t>
  </si>
  <si>
    <t>Cannot find start position for lane B, opened circuit  Green x Blue, scrap x1.</t>
  </si>
  <si>
    <t>JSC2595</t>
  </si>
  <si>
    <t>NO OUTPUT</t>
  </si>
  <si>
    <t>JSC2855</t>
  </si>
  <si>
    <t>JSC3106</t>
  </si>
  <si>
    <t>JSC3129</t>
  </si>
  <si>
    <t>Outupt: 31/5/18 If they make it heatcycling oven on Friday. Very unlikely with obstacles I have faced.</t>
  </si>
  <si>
    <t>shafts x8 - ok</t>
  </si>
  <si>
    <t>JSC3979</t>
  </si>
  <si>
    <t>JSC3980</t>
  </si>
  <si>
    <t>shafts x3 - ok</t>
  </si>
  <si>
    <t>heatshrink -11.81" - ok</t>
  </si>
  <si>
    <t>JSC4228</t>
  </si>
  <si>
    <t>JSC4244</t>
  </si>
  <si>
    <t>JSC4243</t>
  </si>
  <si>
    <t>Dean involved</t>
  </si>
  <si>
    <t>1x cut insulation</t>
  </si>
  <si>
    <t>Total despatched</t>
  </si>
  <si>
    <t>x1 failed tracking</t>
  </si>
  <si>
    <t>x1 failed</t>
  </si>
  <si>
    <t>1 concession request to Malc (e-mailed) for 17G00643</t>
  </si>
  <si>
    <t>batch split as 7+1</t>
  </si>
  <si>
    <t>Month plan</t>
  </si>
  <si>
    <t>Assembled</t>
  </si>
  <si>
    <t>White board - Work in progress D46814</t>
  </si>
  <si>
    <t>Output month no</t>
  </si>
  <si>
    <t>Year</t>
  </si>
  <si>
    <t>First cell</t>
  </si>
  <si>
    <t>Last cell</t>
  </si>
  <si>
    <t>Went for welding 7/8/18 9:00</t>
  </si>
  <si>
    <t>Dean involved
Went for welding 7/8/18 9:00</t>
  </si>
  <si>
    <t>Dean involved, 
went for welding 7/8/18 9:00
back from welding 9/8/18 11:30</t>
  </si>
  <si>
    <t>JSC4570</t>
  </si>
  <si>
    <t>JSC4571</t>
  </si>
  <si>
    <t>JSC4619</t>
  </si>
  <si>
    <t>Operator</t>
  </si>
  <si>
    <t>Dean</t>
  </si>
  <si>
    <t>Martin</t>
  </si>
  <si>
    <t>Dean involved
Martin holiday 27/8/18 - 7/9/18</t>
  </si>
  <si>
    <t>JSC4942</t>
  </si>
  <si>
    <t>JSC4943</t>
  </si>
  <si>
    <t>JSC4976</t>
  </si>
  <si>
    <t>JSC4977</t>
  </si>
  <si>
    <t>JSC4978</t>
  </si>
  <si>
    <t>heatshrink -11.81" - ok
shafts - 9x - ok</t>
  </si>
  <si>
    <t>end cap x8 - ok</t>
  </si>
  <si>
    <t>JSC5143</t>
  </si>
  <si>
    <t>JSC5142</t>
  </si>
  <si>
    <t>JSC5144</t>
  </si>
  <si>
    <t>JSC5145</t>
  </si>
  <si>
    <t>JSC5146</t>
  </si>
  <si>
    <t>Dean involved
Martin holiday 27/8/18 - 7/9/18
welding skipped - done</t>
  </si>
  <si>
    <t>Martin holiday 27/8/18 - 7/9/18</t>
  </si>
  <si>
    <t>coupling x1 - ok</t>
  </si>
  <si>
    <t>1x wire damaged insulation</t>
  </si>
  <si>
    <t>Manager / Planner review</t>
  </si>
  <si>
    <t>Vincent</t>
  </si>
  <si>
    <t>couplings x8 - ok
shafts x9 - ok</t>
  </si>
  <si>
    <t xml:space="preserve">couplings x8 - ok
</t>
  </si>
  <si>
    <t xml:space="preserve">
welding skipped - ok</t>
  </si>
  <si>
    <t>welding skipped - ok</t>
  </si>
  <si>
    <t>19/09/2018
27/09/2018</t>
  </si>
  <si>
    <t>JSC5526</t>
  </si>
  <si>
    <t>holiday 15/10 - 19/10</t>
  </si>
  <si>
    <t>In stock (month begins)</t>
  </si>
  <si>
    <t>only label needed</t>
  </si>
  <si>
    <t>Month plan begins</t>
  </si>
  <si>
    <t>In stock Month begins</t>
  </si>
  <si>
    <t>winding pairs x8 - ok
body x1 - lent for investigation - ok</t>
  </si>
  <si>
    <t>18/09/2018
12/10/2018</t>
  </si>
  <si>
    <t>JSC5527</t>
  </si>
  <si>
    <t>JSC5632</t>
  </si>
  <si>
    <t>JSC5892</t>
  </si>
  <si>
    <t>JSC5893</t>
  </si>
  <si>
    <t>JSC6066</t>
  </si>
  <si>
    <t>Relevant to</t>
  </si>
  <si>
    <t>JSC6065</t>
  </si>
  <si>
    <t>Date job arrived</t>
  </si>
  <si>
    <t>Are there shortages</t>
  </si>
  <si>
    <t>List of part and quantity of each short</t>
  </si>
  <si>
    <t>ALT + Enter adds new line, when shortage filled add "- ok"</t>
  </si>
  <si>
    <t>Date shortage filled</t>
  </si>
  <si>
    <t>Add date for each item (part)</t>
  </si>
  <si>
    <t>Name of the opeator</t>
  </si>
  <si>
    <t>Pick name from the list. If missing add it to the list "Operators" on "List" sheet.</t>
  </si>
  <si>
    <t>Presently it is Friday. Eswtimated or agreed date of despatch.</t>
  </si>
  <si>
    <t>Most likely number of units for despatch. When scrap lower the number.</t>
  </si>
  <si>
    <t>Number of units scrap with reason</t>
  </si>
  <si>
    <t>For each unit scrap give reason.</t>
  </si>
  <si>
    <t>RTV</t>
  </si>
  <si>
    <t>Date and time to track RTV cure</t>
  </si>
  <si>
    <t>48 hour minimum cure.</t>
  </si>
  <si>
    <t>All</t>
  </si>
  <si>
    <t>Note and or message</t>
  </si>
  <si>
    <t>In stock</t>
  </si>
  <si>
    <t>Planed month for output</t>
  </si>
  <si>
    <t>Planed year for output</t>
  </si>
  <si>
    <t>Other calculated fields depend on this column</t>
  </si>
  <si>
    <t>In stock in the beginning of the month</t>
  </si>
  <si>
    <t>Planed number of units for output</t>
  </si>
  <si>
    <t>Planing manager, planers, team leader</t>
  </si>
  <si>
    <t>Units assembled</t>
  </si>
  <si>
    <t>Units still needed to be assembled</t>
  </si>
  <si>
    <t>Columns description</t>
  </si>
  <si>
    <r>
      <rPr>
        <b/>
        <sz val="11"/>
        <color theme="1"/>
        <rFont val="Calibri"/>
        <family val="2"/>
        <scheme val="minor"/>
      </rPr>
      <t>Calculated field</t>
    </r>
    <r>
      <rPr>
        <sz val="11"/>
        <color theme="1"/>
        <rFont val="Calibri"/>
        <family val="2"/>
        <scheme val="minor"/>
      </rPr>
      <t xml:space="preserve">. It includes prediction (most likely assembled). 
</t>
    </r>
    <r>
      <rPr>
        <i/>
        <sz val="11"/>
        <color theme="1"/>
        <rFont val="Calibri"/>
        <family val="2"/>
        <scheme val="minor"/>
      </rPr>
      <t>Formula: Summary of "Out qty"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</si>
  <si>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Calculated field</t>
    </r>
    <r>
      <rPr>
        <sz val="11"/>
        <color theme="1"/>
        <rFont val="Calibri"/>
        <family val="2"/>
        <scheme val="minor"/>
      </rPr>
      <t xml:space="preserve">. </t>
    </r>
    <r>
      <rPr>
        <i/>
        <sz val="11"/>
        <color theme="1"/>
        <rFont val="Calibri"/>
        <family val="2"/>
        <scheme val="minor"/>
      </rPr>
      <t>Formula: Month plan - In stock - Assembled</t>
    </r>
  </si>
  <si>
    <t>Calculated field.</t>
  </si>
  <si>
    <t>Column</t>
  </si>
  <si>
    <t>Operator only</t>
  </si>
  <si>
    <t>Calculations:</t>
  </si>
  <si>
    <t>Job number: stays visible when moving from column to column.</t>
  </si>
  <si>
    <t>Section "In stock, Month plan, Output month, Year" are ment for Manager / Planner to maintain. Section is marked in its header to highlight it.</t>
  </si>
  <si>
    <t>It will add new record to the table with all relevant drop-down lists, calculations and formating.</t>
  </si>
  <si>
    <t>See Columns description sheet for more.</t>
  </si>
  <si>
    <t>Drop-down lists:</t>
  </si>
  <si>
    <t>In top left corner press on "Last record" button. It will move cursor to the last existing row. Top row with columns header stays visible.</t>
  </si>
  <si>
    <t>JSC6157</t>
  </si>
  <si>
    <t>JSC6158</t>
  </si>
  <si>
    <t>heatshrink - ok
end cups x4 - ok</t>
  </si>
  <si>
    <t>31/10/2018
19/11/2018</t>
  </si>
  <si>
    <t>heatshrink - ok
end cap x8 - ok</t>
  </si>
  <si>
    <t>heatshrink ok
end cap x8 - ok</t>
  </si>
  <si>
    <t>end caps x8 - ok</t>
  </si>
  <si>
    <t>tab washer x5 - ok
end cap x8 - ok</t>
  </si>
  <si>
    <t>19/11/2018
19/11/2018</t>
  </si>
  <si>
    <r>
      <rPr>
        <i/>
        <sz val="16"/>
        <color theme="0"/>
        <rFont val="Calibri"/>
        <family val="2"/>
        <scheme val="minor"/>
      </rPr>
      <t>Read</t>
    </r>
    <r>
      <rPr>
        <i/>
        <sz val="16"/>
        <color theme="7"/>
        <rFont val="Calibri"/>
        <family val="2"/>
        <scheme val="minor"/>
      </rPr>
      <t xml:space="preserve"> </t>
    </r>
    <r>
      <rPr>
        <i/>
        <sz val="20"/>
        <color theme="7"/>
        <rFont val="Calibri"/>
        <family val="2"/>
        <scheme val="minor"/>
      </rPr>
      <t>'</t>
    </r>
    <r>
      <rPr>
        <b/>
        <i/>
        <sz val="20"/>
        <color theme="7"/>
        <rFont val="Calibri"/>
        <family val="2"/>
        <scheme val="minor"/>
      </rPr>
      <t>How to use'</t>
    </r>
    <r>
      <rPr>
        <i/>
        <sz val="16"/>
        <color theme="0"/>
        <rFont val="Calibri"/>
        <family val="2"/>
        <scheme val="minor"/>
      </rPr>
      <t xml:space="preserve"> first</t>
    </r>
  </si>
  <si>
    <t>Manager / planner to fill in</t>
  </si>
  <si>
    <t>JSC6255</t>
  </si>
  <si>
    <t>JSC6254</t>
  </si>
  <si>
    <t>bodies x8</t>
  </si>
  <si>
    <t>JSC6332</t>
  </si>
  <si>
    <t>JSC6333</t>
  </si>
  <si>
    <t>x1 - failed tracking</t>
  </si>
  <si>
    <t>JSC6445</t>
  </si>
  <si>
    <t>bodies x8
shaft x16
windings x6</t>
  </si>
  <si>
    <t>bodies x3
bodies x5
winding x1</t>
  </si>
  <si>
    <t>JSC6533</t>
  </si>
  <si>
    <t>05/12/2018
07/12/2018
10/12/2018</t>
  </si>
  <si>
    <t>bodies x8
windings x8
shafts x5
shafts x11</t>
  </si>
  <si>
    <t>03/12/2018
05/12/2018
10/12/2018</t>
  </si>
  <si>
    <t>05/12/2018
10/12/2018
07/12/2018
17/12/2018</t>
  </si>
  <si>
    <r>
      <t xml:space="preserve">despatch on time depends on shortageses filled 29/11/2018 morning
1 winding de-kited and moved to JSC6255
despatch moved to </t>
    </r>
    <r>
      <rPr>
        <b/>
        <sz val="12"/>
        <color rgb="FFFF0000"/>
        <rFont val="Calibri"/>
        <family val="2"/>
        <scheme val="minor"/>
      </rPr>
      <t xml:space="preserve">21/12/2018 </t>
    </r>
    <r>
      <rPr>
        <sz val="11"/>
        <color rgb="FFFF0000"/>
        <rFont val="Calibri"/>
        <family val="2"/>
        <scheme val="minor"/>
      </rPr>
      <t>from 14/12/2018
LATE, after lunch</t>
    </r>
  </si>
  <si>
    <r>
      <t xml:space="preserve">made mistake with heatcycling moved from 14/12/2018 to the following week
</t>
    </r>
    <r>
      <rPr>
        <sz val="11"/>
        <color rgb="FFFF0000"/>
        <rFont val="Calibri"/>
        <family val="2"/>
        <scheme val="minor"/>
      </rPr>
      <t>LATE, after lunch</t>
    </r>
  </si>
  <si>
    <t>JSC6761</t>
  </si>
  <si>
    <t>JSC6762</t>
  </si>
  <si>
    <t>sleeve</t>
  </si>
  <si>
    <t>JSC6784</t>
  </si>
  <si>
    <t>body x8
shaft x5
winding x8</t>
  </si>
  <si>
    <t>JSC6785</t>
  </si>
  <si>
    <t>despatch moved to next year
1 pair of windings moved to jsc6254
welding skipped - done</t>
  </si>
  <si>
    <t>heatcycle first after New year</t>
  </si>
  <si>
    <t>Other calculated fields depend on this column
Fill 1st row (job) of the month, leave other (darker fill) rows blank</t>
  </si>
  <si>
    <t>Still required</t>
  </si>
  <si>
    <t>Is month last job</t>
  </si>
  <si>
    <t>Is month 1st job</t>
  </si>
  <si>
    <t>Help</t>
  </si>
  <si>
    <t>In the following row type in job number.
It can be blank character or just a word or words like "new job".</t>
  </si>
  <si>
    <t>Section "% done, Operator, Out by, Out qty" are segregated with thick vertical line with header "Manager / Planner review".
It is to be managed by operator. Date can be negotiated when possible.</t>
  </si>
  <si>
    <t>Required</t>
  </si>
  <si>
    <r>
      <t xml:space="preserve">Formating:
</t>
    </r>
    <r>
      <rPr>
        <i/>
        <sz val="11"/>
        <color theme="1"/>
        <rFont val="Calibri"/>
        <family val="2"/>
        <scheme val="minor"/>
      </rPr>
      <t>Job number</t>
    </r>
    <r>
      <rPr>
        <sz val="11"/>
        <color theme="1"/>
        <rFont val="Calibri"/>
        <family val="2"/>
        <scheme val="minor"/>
      </rPr>
      <t xml:space="preserve">: inherits background colour from Output month background colour.
</t>
    </r>
    <r>
      <rPr>
        <i/>
        <sz val="11"/>
        <color theme="1"/>
        <rFont val="Calibri"/>
        <family val="2"/>
        <scheme val="minor"/>
      </rPr>
      <t>% done</t>
    </r>
    <r>
      <rPr>
        <sz val="11"/>
        <color theme="1"/>
        <rFont val="Calibri"/>
        <family val="2"/>
        <scheme val="minor"/>
      </rPr>
      <t xml:space="preserve">: changes colour from brown to green as it nears completion.
</t>
    </r>
    <r>
      <rPr>
        <i/>
        <sz val="11"/>
        <color theme="1"/>
        <rFont val="Calibri"/>
        <family val="2"/>
        <scheme val="minor"/>
      </rPr>
      <t>Output month</t>
    </r>
    <r>
      <rPr>
        <sz val="11"/>
        <color theme="1"/>
        <rFont val="Calibri"/>
        <family val="2"/>
        <scheme val="minor"/>
      </rPr>
      <t>: change background colour between blue and green and foreground changes colour between white and black.</t>
    </r>
  </si>
  <si>
    <t>After a new record is added table will be formatted to 4 sections.</t>
  </si>
  <si>
    <t>All other columns with no group / section header are in forth section.</t>
  </si>
  <si>
    <t>Progress stage number</t>
  </si>
  <si>
    <t>Summary trigger stage number</t>
  </si>
  <si>
    <t>sleeve
body x5
winding x4+x2 (dekited and moved to jsc6762)</t>
  </si>
  <si>
    <t>winding x4
winding x4
cable support x8
shaft x16
body x8</t>
  </si>
  <si>
    <t xml:space="preserve">18/12/2108
03/01/2019
04/01/2019
</t>
  </si>
  <si>
    <t>JSC6715</t>
  </si>
  <si>
    <t>shafts x16</t>
  </si>
  <si>
    <t>03/01/2019
07/01/2019
04/01/2019</t>
  </si>
  <si>
    <t>04/01/2019
04/01/2019
20/12/2018
07/01/2109
03/01/2019</t>
  </si>
  <si>
    <t>shafts x16
bodies x5
tab washer x1</t>
  </si>
  <si>
    <t>JSC6816</t>
  </si>
  <si>
    <t>07/07/2019
09/01/2019
07/01/2019</t>
  </si>
  <si>
    <t>Year &amp; Month Out by</t>
  </si>
  <si>
    <t>Year &amp; month output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</si>
</sst>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5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theme="7" tint="-0.249977111117893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20"/>
      <color theme="0"/>
      <name val="Calibri"/>
      <family val="2"/>
      <scheme val="minor"/>
    </font>
    <font>
      <i/>
      <sz val="20"/>
      <color theme="7"/>
      <name val="Calibri"/>
      <family val="2"/>
      <scheme val="minor"/>
    </font>
    <font>
      <b/>
      <i/>
      <sz val="20"/>
      <color theme="7"/>
      <name val="Calibri"/>
      <family val="2"/>
      <scheme val="minor"/>
    </font>
    <font>
      <i/>
      <sz val="16"/>
      <color theme="0"/>
      <name val="Calibri"/>
      <family val="2"/>
      <scheme val="minor"/>
    </font>
    <font>
      <i/>
      <sz val="16"/>
      <color theme="7"/>
      <name val="Calibri"/>
      <family val="2"/>
      <scheme val="minor"/>
    </font>
    <font>
      <sz val="18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/>
      </patternFill>
    </fill>
    <fill>
      <patternFill patternType="solid">
        <fgColor theme="4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8"/>
        <bgColor theme="4" tint="0.79995117038483843"/>
      </patternFill>
    </fill>
    <fill>
      <patternFill patternType="solid">
        <fgColor theme="4" tint="0.79998168889431442"/>
        <bgColor indexed="65"/>
      </patternFill>
    </fill>
  </fills>
  <borders count="5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theme="4"/>
      </top>
      <bottom/>
      <diagonal/>
    </border>
    <border>
      <left style="thin">
        <color theme="4"/>
      </left>
      <right style="medium">
        <color indexed="64"/>
      </right>
      <top style="thin">
        <color indexed="6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</borders>
  <cellStyleXfs count="7">
    <xf numFmtId="0" fontId="0" fillId="0" borderId="0"/>
    <xf numFmtId="9" fontId="9" fillId="0" borderId="0" applyFont="0" applyFill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9" fillId="8" borderId="0" applyNumberFormat="0" applyBorder="0" applyAlignment="0" applyProtection="0"/>
    <xf numFmtId="0" fontId="39" fillId="0" borderId="0" applyNumberFormat="0" applyFill="0" applyBorder="0" applyAlignment="0" applyProtection="0"/>
    <xf numFmtId="0" fontId="9" fillId="11" borderId="0" applyNumberFormat="0" applyBorder="0" applyAlignment="0" applyProtection="0"/>
  </cellStyleXfs>
  <cellXfs count="171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/>
    <xf numFmtId="2" fontId="0" fillId="0" borderId="1" xfId="0" applyNumberFormat="1" applyBorder="1"/>
    <xf numFmtId="0" fontId="0" fillId="0" borderId="2" xfId="0" applyBorder="1"/>
    <xf numFmtId="2" fontId="0" fillId="0" borderId="0" xfId="0" applyNumberFormat="1" applyBorder="1"/>
    <xf numFmtId="0" fontId="0" fillId="0" borderId="5" xfId="0" applyBorder="1"/>
    <xf numFmtId="2" fontId="0" fillId="0" borderId="6" xfId="0" applyNumberFormat="1" applyBorder="1"/>
    <xf numFmtId="0" fontId="1" fillId="0" borderId="7" xfId="0" applyFont="1" applyBorder="1"/>
    <xf numFmtId="0" fontId="1" fillId="0" borderId="8" xfId="0" applyFont="1" applyBorder="1"/>
    <xf numFmtId="0" fontId="0" fillId="0" borderId="9" xfId="0" applyBorder="1"/>
    <xf numFmtId="0" fontId="0" fillId="0" borderId="0" xfId="0" applyBorder="1"/>
    <xf numFmtId="10" fontId="0" fillId="0" borderId="0" xfId="1" applyNumberFormat="1" applyFont="1" applyBorder="1"/>
    <xf numFmtId="10" fontId="0" fillId="0" borderId="1" xfId="1" applyNumberFormat="1" applyFont="1" applyBorder="1"/>
    <xf numFmtId="0" fontId="0" fillId="0" borderId="8" xfId="0" applyBorder="1"/>
    <xf numFmtId="10" fontId="0" fillId="0" borderId="6" xfId="0" applyNumberFormat="1" applyBorder="1"/>
    <xf numFmtId="10" fontId="10" fillId="0" borderId="0" xfId="1" applyNumberFormat="1" applyFont="1" applyBorder="1"/>
    <xf numFmtId="2" fontId="9" fillId="0" borderId="0" xfId="1" applyNumberFormat="1" applyFont="1" applyBorder="1"/>
    <xf numFmtId="0" fontId="9" fillId="0" borderId="0" xfId="1" applyNumberFormat="1" applyFont="1" applyBorder="1"/>
    <xf numFmtId="10" fontId="0" fillId="0" borderId="6" xfId="1" applyNumberFormat="1" applyFont="1" applyBorder="1"/>
    <xf numFmtId="10" fontId="0" fillId="0" borderId="11" xfId="1" applyNumberFormat="1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3" borderId="13" xfId="0" applyFill="1" applyBorder="1"/>
    <xf numFmtId="0" fontId="0" fillId="0" borderId="16" xfId="0" applyBorder="1"/>
    <xf numFmtId="0" fontId="0" fillId="0" borderId="17" xfId="0" applyBorder="1"/>
    <xf numFmtId="0" fontId="0" fillId="0" borderId="13" xfId="0" applyFill="1" applyBorder="1"/>
    <xf numFmtId="0" fontId="0" fillId="0" borderId="0" xfId="0" applyFill="1" applyBorder="1"/>
    <xf numFmtId="0" fontId="11" fillId="0" borderId="0" xfId="0" applyFont="1" applyFill="1" applyBorder="1" applyAlignment="1">
      <alignment horizontal="left"/>
    </xf>
    <xf numFmtId="0" fontId="0" fillId="0" borderId="15" xfId="0" applyBorder="1"/>
    <xf numFmtId="0" fontId="0" fillId="0" borderId="0" xfId="0" applyFont="1" applyAlignment="1">
      <alignment wrapText="1"/>
    </xf>
    <xf numFmtId="0" fontId="0" fillId="0" borderId="0" xfId="0" applyFill="1"/>
    <xf numFmtId="0" fontId="6" fillId="0" borderId="0" xfId="0" applyFont="1" applyFill="1"/>
    <xf numFmtId="0" fontId="7" fillId="0" borderId="0" xfId="0" applyFont="1" applyFill="1"/>
    <xf numFmtId="0" fontId="8" fillId="0" borderId="0" xfId="0" applyFont="1" applyFill="1" applyAlignment="1">
      <alignment wrapText="1"/>
    </xf>
    <xf numFmtId="0" fontId="17" fillId="0" borderId="0" xfId="0" applyFont="1" applyBorder="1"/>
    <xf numFmtId="0" fontId="0" fillId="0" borderId="0" xfId="1" applyNumberFormat="1" applyFont="1" applyBorder="1"/>
    <xf numFmtId="0" fontId="10" fillId="0" borderId="2" xfId="0" applyFont="1" applyBorder="1"/>
    <xf numFmtId="0" fontId="10" fillId="0" borderId="4" xfId="0" applyFont="1" applyBorder="1"/>
    <xf numFmtId="14" fontId="0" fillId="0" borderId="0" xfId="0" applyNumberFormat="1" applyFill="1"/>
    <xf numFmtId="0" fontId="0" fillId="0" borderId="0" xfId="0" applyFill="1" applyAlignment="1">
      <alignment wrapText="1"/>
    </xf>
    <xf numFmtId="14" fontId="6" fillId="0" borderId="0" xfId="0" applyNumberFormat="1" applyFont="1" applyFill="1"/>
    <xf numFmtId="14" fontId="7" fillId="0" borderId="0" xfId="0" applyNumberFormat="1" applyFont="1" applyFill="1"/>
    <xf numFmtId="22" fontId="0" fillId="0" borderId="0" xfId="0" applyNumberFormat="1" applyFill="1"/>
    <xf numFmtId="0" fontId="7" fillId="0" borderId="0" xfId="0" quotePrefix="1" applyFont="1" applyFill="1"/>
    <xf numFmtId="14" fontId="0" fillId="0" borderId="0" xfId="0" applyNumberFormat="1" applyFill="1" applyAlignment="1">
      <alignment wrapText="1"/>
    </xf>
    <xf numFmtId="0" fontId="13" fillId="0" borderId="0" xfId="0" applyFont="1" applyFill="1" applyAlignment="1">
      <alignment wrapText="1"/>
    </xf>
    <xf numFmtId="0" fontId="0" fillId="0" borderId="21" xfId="0" applyFont="1" applyFill="1" applyBorder="1"/>
    <xf numFmtId="0" fontId="14" fillId="0" borderId="0" xfId="0" applyFont="1" applyFill="1" applyAlignment="1">
      <alignment wrapText="1"/>
    </xf>
    <xf numFmtId="0" fontId="18" fillId="0" borderId="0" xfId="0" applyFont="1" applyFill="1"/>
    <xf numFmtId="0" fontId="2" fillId="0" borderId="0" xfId="0" applyFont="1" applyAlignment="1">
      <alignment wrapText="1"/>
    </xf>
    <xf numFmtId="0" fontId="0" fillId="5" borderId="21" xfId="0" applyFont="1" applyFill="1" applyBorder="1"/>
    <xf numFmtId="0" fontId="19" fillId="6" borderId="0" xfId="2"/>
    <xf numFmtId="0" fontId="10" fillId="0" borderId="0" xfId="0" applyFont="1" applyFill="1"/>
    <xf numFmtId="0" fontId="14" fillId="0" borderId="0" xfId="0" applyFont="1" applyFill="1"/>
    <xf numFmtId="0" fontId="0" fillId="0" borderId="0" xfId="0" applyNumberFormat="1" applyFill="1"/>
    <xf numFmtId="0" fontId="20" fillId="0" borderId="0" xfId="0" applyFont="1" applyAlignment="1">
      <alignment wrapText="1"/>
    </xf>
    <xf numFmtId="14" fontId="0" fillId="0" borderId="0" xfId="0" applyNumberFormat="1" applyFill="1" applyBorder="1"/>
    <xf numFmtId="0" fontId="2" fillId="0" borderId="2" xfId="0" applyFont="1" applyBorder="1"/>
    <xf numFmtId="0" fontId="0" fillId="0" borderId="3" xfId="0" applyFill="1" applyBorder="1"/>
    <xf numFmtId="0" fontId="0" fillId="0" borderId="2" xfId="0" applyFill="1" applyBorder="1"/>
    <xf numFmtId="0" fontId="2" fillId="0" borderId="2" xfId="0" applyFont="1" applyBorder="1" applyAlignment="1">
      <alignment wrapText="1"/>
    </xf>
    <xf numFmtId="0" fontId="2" fillId="0" borderId="0" xfId="0" applyFont="1" applyBorder="1" applyAlignment="1">
      <alignment wrapText="1"/>
    </xf>
    <xf numFmtId="0" fontId="2" fillId="0" borderId="3" xfId="0" applyFont="1" applyBorder="1" applyAlignment="1">
      <alignment wrapText="1"/>
    </xf>
    <xf numFmtId="0" fontId="0" fillId="0" borderId="0" xfId="0" applyNumberFormat="1" applyFill="1" applyBorder="1"/>
    <xf numFmtId="14" fontId="0" fillId="0" borderId="22" xfId="0" applyNumberFormat="1" applyFont="1" applyFill="1" applyBorder="1"/>
    <xf numFmtId="0" fontId="0" fillId="4" borderId="25" xfId="0" applyFont="1" applyFill="1" applyBorder="1"/>
    <xf numFmtId="0" fontId="0" fillId="4" borderId="26" xfId="0" applyFont="1" applyFill="1" applyBorder="1"/>
    <xf numFmtId="0" fontId="0" fillId="4" borderId="27" xfId="0" applyFont="1" applyFill="1" applyBorder="1"/>
    <xf numFmtId="0" fontId="0" fillId="0" borderId="3" xfId="0" applyFont="1" applyFill="1" applyBorder="1"/>
    <xf numFmtId="0" fontId="21" fillId="4" borderId="26" xfId="0" applyFont="1" applyFill="1" applyBorder="1" applyAlignment="1"/>
    <xf numFmtId="0" fontId="21" fillId="4" borderId="25" xfId="0" applyFont="1" applyFill="1" applyBorder="1"/>
    <xf numFmtId="0" fontId="2" fillId="0" borderId="0" xfId="0" applyFont="1" applyBorder="1"/>
    <xf numFmtId="0" fontId="2" fillId="0" borderId="3" xfId="0" applyFont="1" applyBorder="1"/>
    <xf numFmtId="0" fontId="10" fillId="0" borderId="23" xfId="0" applyFont="1" applyFill="1" applyBorder="1"/>
    <xf numFmtId="0" fontId="23" fillId="0" borderId="23" xfId="0" applyFont="1" applyFill="1" applyBorder="1"/>
    <xf numFmtId="0" fontId="24" fillId="0" borderId="23" xfId="0" applyFont="1" applyFill="1" applyBorder="1"/>
    <xf numFmtId="0" fontId="10" fillId="0" borderId="24" xfId="0" applyFont="1" applyFill="1" applyBorder="1"/>
    <xf numFmtId="10" fontId="10" fillId="0" borderId="3" xfId="1" applyNumberFormat="1" applyFont="1" applyBorder="1"/>
    <xf numFmtId="10" fontId="10" fillId="0" borderId="10" xfId="1" applyNumberFormat="1" applyFont="1" applyBorder="1"/>
    <xf numFmtId="0" fontId="10" fillId="5" borderId="21" xfId="0" applyFont="1" applyFill="1" applyBorder="1"/>
    <xf numFmtId="0" fontId="22" fillId="6" borderId="0" xfId="2" applyFont="1"/>
    <xf numFmtId="9" fontId="10" fillId="0" borderId="2" xfId="0" applyNumberFormat="1" applyFont="1" applyFill="1" applyBorder="1"/>
    <xf numFmtId="9" fontId="10" fillId="0" borderId="0" xfId="0" applyNumberFormat="1" applyFont="1" applyFill="1" applyBorder="1"/>
    <xf numFmtId="9" fontId="25" fillId="0" borderId="0" xfId="0" applyNumberFormat="1" applyFont="1" applyFill="1" applyBorder="1"/>
    <xf numFmtId="14" fontId="10" fillId="0" borderId="0" xfId="0" applyNumberFormat="1" applyFont="1" applyBorder="1"/>
    <xf numFmtId="0" fontId="10" fillId="0" borderId="3" xfId="0" applyFont="1" applyBorder="1"/>
    <xf numFmtId="0" fontId="0" fillId="0" borderId="31" xfId="0" applyBorder="1"/>
    <xf numFmtId="0" fontId="8" fillId="0" borderId="0" xfId="0" applyFont="1" applyFill="1"/>
    <xf numFmtId="0" fontId="8" fillId="0" borderId="0" xfId="0" quotePrefix="1" applyFont="1" applyFill="1"/>
    <xf numFmtId="9" fontId="10" fillId="0" borderId="0" xfId="0" applyNumberFormat="1" applyFont="1" applyFill="1"/>
    <xf numFmtId="14" fontId="10" fillId="0" borderId="0" xfId="0" applyNumberFormat="1" applyFont="1"/>
    <xf numFmtId="0" fontId="8" fillId="0" borderId="0" xfId="0" applyFont="1" applyFill="1" applyBorder="1"/>
    <xf numFmtId="14" fontId="0" fillId="0" borderId="0" xfId="0" applyNumberFormat="1" applyFill="1" applyAlignment="1">
      <alignment horizontal="right" wrapText="1"/>
    </xf>
    <xf numFmtId="0" fontId="0" fillId="0" borderId="3" xfId="0" applyNumberFormat="1" applyFont="1" applyFill="1" applyBorder="1"/>
    <xf numFmtId="0" fontId="2" fillId="0" borderId="32" xfId="0" applyFont="1" applyBorder="1"/>
    <xf numFmtId="0" fontId="0" fillId="4" borderId="33" xfId="0" applyFont="1" applyFill="1" applyBorder="1"/>
    <xf numFmtId="0" fontId="11" fillId="0" borderId="0" xfId="0" applyFont="1" applyFill="1" applyBorder="1" applyAlignment="1">
      <alignment horizontal="left"/>
    </xf>
    <xf numFmtId="0" fontId="0" fillId="0" borderId="34" xfId="0" applyBorder="1"/>
    <xf numFmtId="0" fontId="0" fillId="0" borderId="37" xfId="0" applyBorder="1"/>
    <xf numFmtId="0" fontId="0" fillId="0" borderId="38" xfId="0" applyBorder="1"/>
    <xf numFmtId="0" fontId="0" fillId="0" borderId="36" xfId="0" applyBorder="1"/>
    <xf numFmtId="0" fontId="0" fillId="0" borderId="37" xfId="0" applyBorder="1" applyAlignment="1">
      <alignment wrapText="1"/>
    </xf>
    <xf numFmtId="0" fontId="0" fillId="3" borderId="39" xfId="0" applyFill="1" applyBorder="1"/>
    <xf numFmtId="0" fontId="0" fillId="3" borderId="40" xfId="0" applyFill="1" applyBorder="1"/>
    <xf numFmtId="0" fontId="0" fillId="3" borderId="12" xfId="0" applyFill="1" applyBorder="1"/>
    <xf numFmtId="0" fontId="0" fillId="3" borderId="18" xfId="0" applyFill="1" applyBorder="1"/>
    <xf numFmtId="0" fontId="0" fillId="3" borderId="41" xfId="0" applyFill="1" applyBorder="1"/>
    <xf numFmtId="0" fontId="0" fillId="3" borderId="10" xfId="0" applyFill="1" applyBorder="1"/>
    <xf numFmtId="0" fontId="2" fillId="0" borderId="42" xfId="0" applyFont="1" applyBorder="1"/>
    <xf numFmtId="0" fontId="2" fillId="0" borderId="43" xfId="0" applyFont="1" applyBorder="1"/>
    <xf numFmtId="0" fontId="2" fillId="0" borderId="44" xfId="0" applyFont="1" applyBorder="1"/>
    <xf numFmtId="0" fontId="0" fillId="3" borderId="45" xfId="0" applyFill="1" applyBorder="1"/>
    <xf numFmtId="0" fontId="10" fillId="0" borderId="34" xfId="0" applyFont="1" applyBorder="1"/>
    <xf numFmtId="0" fontId="17" fillId="0" borderId="37" xfId="0" applyFont="1" applyBorder="1"/>
    <xf numFmtId="0" fontId="17" fillId="0" borderId="35" xfId="0" applyFont="1" applyBorder="1"/>
    <xf numFmtId="0" fontId="16" fillId="2" borderId="1" xfId="0" applyFont="1" applyFill="1" applyBorder="1" applyAlignment="1"/>
    <xf numFmtId="0" fontId="27" fillId="2" borderId="1" xfId="0" applyFont="1" applyFill="1" applyBorder="1" applyAlignment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4" xfId="0" applyBorder="1"/>
    <xf numFmtId="0" fontId="0" fillId="0" borderId="10" xfId="0" applyBorder="1"/>
    <xf numFmtId="0" fontId="9" fillId="8" borderId="4" xfId="4" applyBorder="1"/>
    <xf numFmtId="0" fontId="9" fillId="8" borderId="10" xfId="4" applyBorder="1"/>
    <xf numFmtId="0" fontId="9" fillId="8" borderId="28" xfId="4" applyBorder="1"/>
    <xf numFmtId="0" fontId="9" fillId="8" borderId="30" xfId="4" applyBorder="1"/>
    <xf numFmtId="0" fontId="9" fillId="8" borderId="2" xfId="4" applyBorder="1"/>
    <xf numFmtId="0" fontId="14" fillId="0" borderId="0" xfId="0" applyFont="1" applyFill="1" applyAlignment="1">
      <alignment horizontal="left" vertical="top" wrapText="1"/>
    </xf>
    <xf numFmtId="0" fontId="34" fillId="0" borderId="0" xfId="0" applyFont="1" applyFill="1"/>
    <xf numFmtId="0" fontId="35" fillId="0" borderId="0" xfId="0" applyFont="1" applyFill="1"/>
    <xf numFmtId="0" fontId="38" fillId="0" borderId="0" xfId="0" applyFont="1" applyFill="1"/>
    <xf numFmtId="0" fontId="0" fillId="0" borderId="0" xfId="0" applyFill="1" applyAlignment="1">
      <alignment horizontal="right" wrapText="1"/>
    </xf>
    <xf numFmtId="0" fontId="17" fillId="0" borderId="37" xfId="0" applyFont="1" applyBorder="1" applyAlignment="1">
      <alignment wrapText="1"/>
    </xf>
    <xf numFmtId="0" fontId="0" fillId="4" borderId="0" xfId="0" applyFont="1" applyFill="1" applyBorder="1"/>
    <xf numFmtId="0" fontId="40" fillId="2" borderId="1" xfId="5" applyFont="1" applyFill="1" applyBorder="1" applyAlignment="1">
      <alignment horizontal="center"/>
    </xf>
    <xf numFmtId="0" fontId="0" fillId="8" borderId="3" xfId="4" applyFont="1" applyBorder="1"/>
    <xf numFmtId="0" fontId="9" fillId="11" borderId="0" xfId="6"/>
    <xf numFmtId="0" fontId="10" fillId="0" borderId="0" xfId="0" applyFont="1" applyBorder="1"/>
    <xf numFmtId="0" fontId="17" fillId="0" borderId="0" xfId="0" applyFont="1" applyAlignment="1">
      <alignment wrapText="1"/>
    </xf>
    <xf numFmtId="0" fontId="32" fillId="10" borderId="2" xfId="0" applyFont="1" applyFill="1" applyBorder="1" applyAlignment="1">
      <alignment horizontal="center" vertical="center" wrapText="1"/>
    </xf>
    <xf numFmtId="0" fontId="32" fillId="10" borderId="0" xfId="0" applyFont="1" applyFill="1" applyBorder="1" applyAlignment="1">
      <alignment horizontal="center" vertical="center" wrapText="1"/>
    </xf>
    <xf numFmtId="0" fontId="32" fillId="10" borderId="3" xfId="0" applyFont="1" applyFill="1" applyBorder="1" applyAlignment="1">
      <alignment horizontal="center" vertical="center" wrapText="1"/>
    </xf>
    <xf numFmtId="0" fontId="32" fillId="9" borderId="28" xfId="0" applyFont="1" applyFill="1" applyBorder="1" applyAlignment="1">
      <alignment horizontal="center" vertical="center"/>
    </xf>
    <xf numFmtId="0" fontId="32" fillId="9" borderId="29" xfId="0" applyFont="1" applyFill="1" applyBorder="1" applyAlignment="1">
      <alignment horizontal="center" vertical="center"/>
    </xf>
    <xf numFmtId="0" fontId="32" fillId="9" borderId="30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/>
    </xf>
    <xf numFmtId="0" fontId="0" fillId="8" borderId="49" xfId="4" applyFont="1" applyBorder="1" applyAlignment="1">
      <alignment horizontal="left"/>
    </xf>
    <xf numFmtId="0" fontId="9" fillId="8" borderId="40" xfId="4" applyBorder="1" applyAlignment="1">
      <alignment horizontal="left"/>
    </xf>
    <xf numFmtId="0" fontId="26" fillId="0" borderId="5" xfId="0" applyFont="1" applyBorder="1"/>
    <xf numFmtId="0" fontId="26" fillId="0" borderId="11" xfId="0" applyFont="1" applyBorder="1"/>
    <xf numFmtId="0" fontId="0" fillId="8" borderId="4" xfId="4" applyFont="1" applyBorder="1" applyAlignment="1">
      <alignment horizontal="left" wrapText="1"/>
    </xf>
    <xf numFmtId="0" fontId="9" fillId="8" borderId="10" xfId="4" applyBorder="1" applyAlignment="1">
      <alignment horizontal="left" wrapText="1"/>
    </xf>
    <xf numFmtId="0" fontId="15" fillId="7" borderId="19" xfId="3" applyFont="1" applyBorder="1" applyAlignment="1">
      <alignment horizontal="center"/>
    </xf>
    <xf numFmtId="0" fontId="15" fillId="7" borderId="20" xfId="3" applyFont="1" applyBorder="1" applyAlignment="1">
      <alignment horizontal="center"/>
    </xf>
    <xf numFmtId="0" fontId="0" fillId="8" borderId="49" xfId="4" applyFont="1" applyBorder="1" applyAlignment="1">
      <alignment horizontal="left" wrapText="1"/>
    </xf>
    <xf numFmtId="0" fontId="9" fillId="8" borderId="40" xfId="4" applyBorder="1" applyAlignment="1">
      <alignment horizontal="left"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8" borderId="50" xfId="4" applyFont="1" applyBorder="1" applyAlignment="1">
      <alignment horizontal="left" wrapText="1"/>
    </xf>
    <xf numFmtId="0" fontId="9" fillId="8" borderId="51" xfId="4" applyBorder="1" applyAlignment="1">
      <alignment horizontal="left" wrapText="1"/>
    </xf>
    <xf numFmtId="0" fontId="0" fillId="0" borderId="49" xfId="0" applyBorder="1" applyAlignment="1">
      <alignment horizontal="left" wrapText="1"/>
    </xf>
    <xf numFmtId="0" fontId="0" fillId="0" borderId="40" xfId="0" applyBorder="1" applyAlignment="1">
      <alignment horizontal="left" wrapText="1"/>
    </xf>
    <xf numFmtId="0" fontId="0" fillId="0" borderId="49" xfId="0" applyBorder="1" applyAlignment="1">
      <alignment horizontal="left"/>
    </xf>
    <xf numFmtId="0" fontId="0" fillId="0" borderId="40" xfId="0" applyBorder="1" applyAlignment="1">
      <alignment horizontal="left"/>
    </xf>
    <xf numFmtId="0" fontId="11" fillId="0" borderId="0" xfId="0" applyFont="1" applyFill="1" applyBorder="1" applyAlignment="1">
      <alignment horizontal="left"/>
    </xf>
    <xf numFmtId="0" fontId="41" fillId="6" borderId="46" xfId="2" applyFont="1" applyBorder="1" applyAlignment="1">
      <alignment horizontal="center"/>
    </xf>
    <xf numFmtId="0" fontId="41" fillId="6" borderId="47" xfId="2" applyFont="1" applyBorder="1" applyAlignment="1">
      <alignment horizontal="center"/>
    </xf>
    <xf numFmtId="0" fontId="41" fillId="6" borderId="48" xfId="2" applyFont="1" applyBorder="1" applyAlignment="1">
      <alignment horizontal="center"/>
    </xf>
  </cellXfs>
  <cellStyles count="7">
    <cellStyle name="20% - Accent1" xfId="6" builtinId="30"/>
    <cellStyle name="20% - Accent3" xfId="4" builtinId="38"/>
    <cellStyle name="Accent1" xfId="3" builtinId="29"/>
    <cellStyle name="Accent5" xfId="2" builtinId="45"/>
    <cellStyle name="Hyperlink" xfId="5" builtinId="8"/>
    <cellStyle name="Normal" xfId="0" builtinId="0"/>
    <cellStyle name="Percent" xfId="1" builtinId="5"/>
  </cellStyles>
  <dxfs count="95">
    <dxf>
      <font>
        <color rgb="FFFF0000"/>
      </font>
    </dxf>
    <dxf>
      <font>
        <b/>
        <i val="0"/>
      </font>
    </dxf>
    <dxf>
      <fill>
        <patternFill>
          <bgColor theme="6"/>
        </patternFill>
      </fill>
    </dxf>
    <dxf>
      <font>
        <color rgb="FF00B050"/>
      </font>
    </dxf>
    <dxf>
      <font>
        <color rgb="FFFF0000"/>
      </font>
    </dxf>
    <dxf>
      <fill>
        <patternFill>
          <bgColor theme="2"/>
        </patternFill>
      </fill>
    </dxf>
    <dxf>
      <font>
        <b/>
        <i val="0"/>
      </font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  <border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7" tint="0.39991454817346722"/>
      </font>
    </dxf>
    <dxf>
      <font>
        <b val="0"/>
        <i/>
        <color theme="0"/>
      </font>
    </dxf>
    <dxf>
      <font>
        <color rgb="FFFF0000"/>
      </font>
    </dxf>
    <dxf>
      <font>
        <color theme="6" tint="0.79998168889431442"/>
      </font>
    </dxf>
    <dxf>
      <font>
        <color theme="2"/>
      </font>
    </dxf>
    <dxf>
      <font>
        <color rgb="FFFF0000"/>
      </font>
    </dxf>
    <dxf>
      <font>
        <b/>
        <i val="0"/>
      </font>
    </dxf>
    <dxf>
      <fill>
        <patternFill>
          <bgColor theme="6"/>
        </patternFill>
      </fill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7030A0"/>
      </font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ont>
        <strike val="0"/>
        <color rgb="FF00B050"/>
      </font>
    </dxf>
    <dxf>
      <fill>
        <patternFill>
          <bgColor theme="2"/>
        </patternFill>
      </fill>
    </dxf>
    <dxf>
      <font>
        <b/>
        <i val="0"/>
      </font>
    </dxf>
    <dxf>
      <font>
        <color theme="0"/>
      </font>
      <fill>
        <patternFill>
          <bgColor theme="8"/>
        </patternFill>
      </fill>
    </dxf>
    <dxf>
      <font>
        <color rgb="FFFF000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5"/>
      </font>
    </dxf>
    <dxf>
      <font>
        <b/>
        <i val="0"/>
        <color theme="8"/>
      </font>
    </dxf>
    <dxf>
      <font>
        <color rgb="FFFF0000"/>
      </font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</font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</font>
    </dxf>
    <dxf>
      <font>
        <b/>
      </font>
      <numFmt numFmtId="13" formatCode="0%"/>
      <fill>
        <patternFill patternType="none">
          <fgColor indexed="64"/>
          <bgColor indexed="65"/>
        </patternFill>
      </fill>
    </dxf>
    <dxf>
      <font>
        <b/>
      </font>
      <numFmt numFmtId="13" formatCode="0%"/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</dxfs>
  <tableStyles count="0" defaultTableStyle="TableStyleMedium2" defaultPivotStyle="PivotStyleLight16"/>
  <colors>
    <mruColors>
      <color rgb="FFFAC8D2"/>
      <color rgb="FFFEB2B0"/>
      <color rgb="FFFCC1C0"/>
      <color rgb="FFFFCC66"/>
      <color rgb="FFFFA4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openxmlformats.org/officeDocument/2006/relationships/customXml" Target="../customXml/item5.xml"/><Relationship Id="rId10" Type="http://schemas.openxmlformats.org/officeDocument/2006/relationships/calcChain" Target="calcChain.xml"/><Relationship Id="rId19" Type="http://schemas.openxmlformats.org/officeDocument/2006/relationships/customXml" Target="../customXml/item9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1</xdr:row>
          <xdr:rowOff>85725</xdr:rowOff>
        </xdr:from>
        <xdr:to>
          <xdr:col>6</xdr:col>
          <xdr:colOff>552450</xdr:colOff>
          <xdr:row>1</xdr:row>
          <xdr:rowOff>409575</xdr:rowOff>
        </xdr:to>
        <xdr:sp macro="" textlink="">
          <xdr:nvSpPr>
            <xdr:cNvPr id="2060" name="Button 12" descr="Go to first record.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F</a:t>
              </a: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</a:rPr>
                <a:t>irst recor</a:t>
              </a: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1</xdr:row>
          <xdr:rowOff>85725</xdr:rowOff>
        </xdr:from>
        <xdr:to>
          <xdr:col>6</xdr:col>
          <xdr:colOff>1647825</xdr:colOff>
          <xdr:row>1</xdr:row>
          <xdr:rowOff>409575</xdr:rowOff>
        </xdr:to>
        <xdr:sp macro="" textlink="">
          <xdr:nvSpPr>
            <xdr:cNvPr id="2063" name="Button 15" descr="Go to last record.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</a:rPr>
                <a:t>Last record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Output_Table" displayName="Output_Table" ref="A3:AC110" totalsRowShown="0" headerRowDxfId="94" dataDxfId="93">
  <autoFilter ref="A3:AC110" xr:uid="{00000000-0009-0000-0100-000001000000}"/>
  <tableColumns count="29">
    <tableColumn id="1" xr3:uid="{00000000-0010-0000-0000-000001000000}" name="Job" dataDxfId="92"/>
    <tableColumn id="7" xr3:uid="{00000000-0010-0000-0000-000007000000}" name="Booked in" dataDxfId="91"/>
    <tableColumn id="2" xr3:uid="{00000000-0010-0000-0000-000002000000}" name="Batch" dataDxfId="90"/>
    <tableColumn id="5" xr3:uid="{00000000-0010-0000-0000-000005000000}" name="Shortages" dataDxfId="89"/>
    <tableColumn id="9" xr3:uid="{00000000-0010-0000-0000-000009000000}" name="Short of…" dataDxfId="88"/>
    <tableColumn id="10" xr3:uid="{00000000-0010-0000-0000-00000A000000}" name="Shortage filled" dataDxfId="87"/>
    <tableColumn id="4" xr3:uid="{00000000-0010-0000-0000-000004000000}" name="Progress" dataDxfId="86"/>
    <tableColumn id="15" xr3:uid="{00000000-0010-0000-0000-00000F000000}" name="% done" dataDxfId="85">
      <calculatedColumnFormula>_xlfn.IFNA(VLOOKUP(Output_Table[[#This Row],[Progress]],ProgressCalculation_List,6,FALSE),"")</calculatedColumnFormula>
    </tableColumn>
    <tableColumn id="23" xr3:uid="{00000000-0010-0000-0000-000017000000}" name="Operator" dataDxfId="84"/>
    <tableColumn id="13" xr3:uid="{00000000-0010-0000-0000-00000D000000}" name="Out by" dataDxfId="83"/>
    <tableColumn id="8" xr3:uid="{00000000-0010-0000-0000-000008000000}" name="Out qty" dataDxfId="82"/>
    <tableColumn id="14" xr3:uid="{00000000-0010-0000-0000-00000E000000}" name="Fail reason" dataDxfId="81"/>
    <tableColumn id="11" xr3:uid="{00000000-0010-0000-0000-00000B000000}" name="RTV (in)" dataDxfId="80"/>
    <tableColumn id="6" xr3:uid="{00000000-0010-0000-0000-000006000000}" name="Note" dataDxfId="79"/>
    <tableColumn id="12" xr3:uid="{00000000-0010-0000-0000-00000C000000}" name="Still required" dataDxfId="78">
      <calculatedColumnFormula>IFERROR(INDIRECT(Output_Table[[#This Row],[Month plan begins]])-INDIRECT(Output_Table[[#This Row],[In stock Month begins]])-Output_Table[[#This Row],[Assembled]],0)</calculatedColumnFormula>
    </tableColumn>
    <tableColumn id="16" xr3:uid="{00000000-0010-0000-0000-000010000000}" name="Assembled" dataDxfId="77">
      <calculatedColumnFormula>IFERROR(SUBTOTAL(109,INDIRECT(Output_Table[[#This Row],[First cell]]):INDIRECT(Output_Table[[#This Row],[Last cell]])),0)</calculatedColumnFormula>
    </tableColumn>
    <tableColumn id="17" xr3:uid="{00000000-0010-0000-0000-000011000000}" name="In stock (month begins)" dataDxfId="76"/>
    <tableColumn id="18" xr3:uid="{00000000-0010-0000-0000-000012000000}" name="Month plan" dataDxfId="75"/>
    <tableColumn id="3" xr3:uid="{00000000-0010-0000-0000-000003000000}" name="Output month" dataDxfId="74"/>
    <tableColumn id="19" xr3:uid="{00000000-0010-0000-0000-000013000000}" name="Year" dataDxfId="73"/>
    <tableColumn id="20" xr3:uid="{00000000-0010-0000-0000-000014000000}" name="Year &amp; month output plan" dataDxfId="72">
      <calculatedColumnFormula>_xlfn.NUMBERVALUE(Output_Table[[#This Row],[Year]]&amp;TEXT(_xlfn.IFNA(VLOOKUP(Output_Table[[#This Row],[Output month]],OutupMonth_Table[],2,FALSE),""),"00"))</calculatedColumnFormula>
    </tableColumn>
    <tableColumn id="26" xr3:uid="{00000000-0010-0000-0000-00001A000000}" name="Year &amp; Month Out by" dataDxfId="71">
      <calculatedColumnFormula>_xlfn.NUMBERVALUE(YEAR(Output_Table[[#This Row],[Out by]])&amp; TEXT(MONTH(Output_Table[[#This Row],[Out by]]),"00"))</calculatedColumnFormula>
    </tableColumn>
    <tableColumn id="21" xr3:uid="{00000000-0010-0000-0000-000015000000}" name="First cell" dataDxfId="55">
      <calculatedColumnFormula>ADDRESS(MATCH(Output_Table[[#This Row],[Year &amp; month output plan]],Output_Table[[#All],[Year &amp; month output plan]],0)+2,COLUMN(Output_Table[[#This Row],[Out qty]]),4,1)</calculatedColumnFormula>
    </tableColumn>
    <tableColumn id="22" xr3:uid="{00000000-0010-0000-0000-000016000000}" name="Last cell" dataDxfId="54">
      <calculatedColumnFormula>ADDRESS(MATCH(Output_Table[[#This Row],[Year &amp; month output plan]],Output_Table[[#All],[Year &amp; month output plan]],1)+2,COLUMN(Output_Table[[#This Row],[Out qty]]),4,1)</calculatedColumnFormula>
    </tableColumn>
    <tableColumn id="24" xr3:uid="{00000000-0010-0000-0000-000018000000}" name="In stock Month begins" dataDxfId="70">
      <calculatedColumnFormula>ADDRESS(MATCH(Output_Table[[#This Row],[Year &amp; month output plan]],Output_Table[[#All],[Year &amp; month output plan]],0)+2,COLUMN(Output_Table[[#This Row],[In stock (month begins)]]),4,1)</calculatedColumnFormula>
    </tableColumn>
    <tableColumn id="25" xr3:uid="{00000000-0010-0000-0000-000019000000}" name="Month plan begins" dataDxfId="69">
      <calculatedColumnFormula>ADDRESS(MATCH(Output_Table[[#This Row],[Year &amp; month output plan]],Output_Table[[#All],[Year &amp; month output plan]],0)+2,COLUMN(Output_Table[[#This Row],[Month plan]]),4,1)</calculatedColumnFormula>
    </tableColumn>
    <tableColumn id="29" xr3:uid="{00000000-0010-0000-0000-00001D000000}" name="Is month 1st job" dataDxfId="57">
      <calculatedColumnFormula>IF(MATCH(Output_Table[[#This Row],[Year &amp; month output plan]],Output_Table[[#All],[Year &amp; month output plan]],0)+2=ROW(Output_Table[[#This Row],[Job]]),1,0)</calculatedColumnFormula>
    </tableColumn>
    <tableColumn id="31" xr3:uid="{00000000-0010-0000-0000-00001F000000}" name="Is month last job" dataDxfId="56">
      <calculatedColumnFormula>IF(MATCH(Output_Table[[#This Row],[Year &amp; month output plan]],Output_Table[[#All],[Year &amp; month output plan]],1)+2=ROW(Output_Table[[#This Row],[Job]]),1,0)</calculatedColumnFormula>
    </tableColumn>
    <tableColumn id="32" xr3:uid="{00000000-0010-0000-0000-000020000000}" name="Progress stage number" dataDxfId="68">
      <calculatedColumnFormula>IFERROR(VALUE(LEFT(Output_Table[[#This Row],[Progress]],2)),"")</calculatedColumnFormula>
    </tableColumn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OutupMonth_Table" displayName="OutupMonth_Table" ref="M1:N14" totalsRowShown="0" headerRowBorderDxfId="67" dataCellStyle="Accent5">
  <tableColumns count="2">
    <tableColumn id="1" xr3:uid="{00000000-0010-0000-0100-000001000000}" name="Output months" dataCellStyle="Accent5"/>
    <tableColumn id="2" xr3:uid="{00000000-0010-0000-0100-000002000000}" name="Output month no" dataCellStyle="Accent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Operator_Table" displayName="Operator_Table" ref="H1:H5" totalsRowShown="0" headerRowDxfId="66" dataDxfId="65" tableBorderDxfId="64" dataCellStyle="Percent">
  <tableColumns count="1">
    <tableColumn id="1" xr3:uid="{00000000-0010-0000-0200-000001000000}" name="Operator" dataDxfId="63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Shortages_Table" displayName="Shortages_Table" ref="J1:J4" totalsRowShown="0" headerRowBorderDxfId="62" tableBorderDxfId="61">
  <tableColumns count="1">
    <tableColumn id="1" xr3:uid="{00000000-0010-0000-0300-000001000000}" name="Shortag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Years_Table" displayName="Years_Table" ref="J7:J12" totalsRowShown="0" dataDxfId="60" tableBorderDxfId="59">
  <tableColumns count="1">
    <tableColumn id="1" xr3:uid="{00000000-0010-0000-0400-000001000000}" name="Year" dataDxfId="5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D46814%20-%20How%20to%20use.docx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10"/>
  <sheetViews>
    <sheetView tabSelected="1" zoomScale="80" zoomScaleNormal="80" zoomScaleSheetLayoutView="50" workbookViewId="0">
      <pane xSplit="1" ySplit="3" topLeftCell="M4" activePane="bottomRight" state="frozen"/>
      <selection pane="topRight" activeCell="B1" sqref="B1"/>
      <selection pane="bottomLeft" activeCell="A3" sqref="A3"/>
      <selection pane="bottomRight" activeCell="V2" sqref="V2"/>
    </sheetView>
  </sheetViews>
  <sheetFormatPr defaultRowHeight="15" x14ac:dyDescent="0.25"/>
  <cols>
    <col min="1" max="1" width="12.5703125" bestFit="1" customWidth="1"/>
    <col min="2" max="2" width="17" bestFit="1" customWidth="1"/>
    <col min="3" max="3" width="10.7109375" customWidth="1"/>
    <col min="4" max="4" width="16.7109375" bestFit="1" customWidth="1"/>
    <col min="5" max="5" width="34.7109375" customWidth="1"/>
    <col min="6" max="6" width="18.85546875" customWidth="1"/>
    <col min="7" max="7" width="25.140625" bestFit="1" customWidth="1"/>
    <col min="8" max="8" width="12.28515625" bestFit="1" customWidth="1"/>
    <col min="9" max="9" width="14.140625" bestFit="1" customWidth="1"/>
    <col min="10" max="10" width="13.42578125" customWidth="1"/>
    <col min="11" max="11" width="12.28515625" bestFit="1" customWidth="1"/>
    <col min="12" max="12" width="27.85546875" bestFit="1" customWidth="1"/>
    <col min="13" max="13" width="17.140625" bestFit="1" customWidth="1"/>
    <col min="14" max="14" width="32.5703125" customWidth="1"/>
    <col min="15" max="15" width="13.7109375" customWidth="1"/>
    <col min="16" max="16" width="16.28515625" bestFit="1" customWidth="1"/>
    <col min="17" max="17" width="11.7109375" customWidth="1"/>
    <col min="18" max="18" width="10.140625" customWidth="1"/>
    <col min="19" max="19" width="12" bestFit="1" customWidth="1"/>
    <col min="20" max="20" width="9" customWidth="1"/>
    <col min="21" max="22" width="10.7109375" customWidth="1"/>
    <col min="23" max="24" width="7.7109375" customWidth="1"/>
    <col min="25" max="29" width="10.7109375" customWidth="1"/>
  </cols>
  <sheetData>
    <row r="1" spans="1:29" ht="36" x14ac:dyDescent="0.55000000000000004">
      <c r="A1" s="148" t="s">
        <v>206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37" t="s">
        <v>337</v>
      </c>
      <c r="Q1" s="119" t="s">
        <v>307</v>
      </c>
      <c r="R1" s="118"/>
      <c r="S1" s="118"/>
      <c r="T1" s="118"/>
    </row>
    <row r="2" spans="1:29" ht="44.25" customHeight="1" x14ac:dyDescent="0.4">
      <c r="A2" s="136"/>
      <c r="B2" s="70"/>
      <c r="C2" s="68"/>
      <c r="D2" s="68"/>
      <c r="E2" s="68"/>
      <c r="F2" s="68"/>
      <c r="G2" s="69"/>
      <c r="H2" s="145" t="s">
        <v>237</v>
      </c>
      <c r="I2" s="146"/>
      <c r="J2" s="146"/>
      <c r="K2" s="147"/>
      <c r="L2" s="70"/>
      <c r="M2" s="69"/>
      <c r="N2" s="72" t="s">
        <v>199</v>
      </c>
      <c r="O2" s="73">
        <f>SUM(Output_Table[Out qty])</f>
        <v>778</v>
      </c>
      <c r="P2" s="98"/>
      <c r="Q2" s="142" t="s">
        <v>308</v>
      </c>
      <c r="R2" s="143"/>
      <c r="S2" s="143"/>
      <c r="T2" s="144"/>
    </row>
    <row r="3" spans="1:29" ht="56.25" x14ac:dyDescent="0.3">
      <c r="A3" s="75" t="s">
        <v>7</v>
      </c>
      <c r="B3" s="2" t="s">
        <v>9</v>
      </c>
      <c r="C3" s="1" t="s">
        <v>1</v>
      </c>
      <c r="D3" s="1" t="s">
        <v>3</v>
      </c>
      <c r="E3" s="2" t="s">
        <v>12</v>
      </c>
      <c r="F3" s="52" t="s">
        <v>165</v>
      </c>
      <c r="G3" s="1" t="s">
        <v>2</v>
      </c>
      <c r="H3" s="60" t="s">
        <v>31</v>
      </c>
      <c r="I3" s="74" t="s">
        <v>217</v>
      </c>
      <c r="J3" s="74" t="s">
        <v>27</v>
      </c>
      <c r="K3" s="75" t="s">
        <v>10</v>
      </c>
      <c r="L3" s="1" t="s">
        <v>74</v>
      </c>
      <c r="M3" s="1" t="s">
        <v>29</v>
      </c>
      <c r="N3" s="2" t="s">
        <v>6</v>
      </c>
      <c r="O3" s="52" t="s">
        <v>334</v>
      </c>
      <c r="P3" s="97" t="s">
        <v>205</v>
      </c>
      <c r="Q3" s="63" t="s">
        <v>246</v>
      </c>
      <c r="R3" s="64" t="s">
        <v>204</v>
      </c>
      <c r="S3" s="64" t="s">
        <v>75</v>
      </c>
      <c r="T3" s="65" t="s">
        <v>208</v>
      </c>
      <c r="U3" s="58" t="s">
        <v>357</v>
      </c>
      <c r="V3" s="58" t="s">
        <v>356</v>
      </c>
      <c r="W3" s="141" t="s">
        <v>209</v>
      </c>
      <c r="X3" s="141" t="s">
        <v>210</v>
      </c>
      <c r="Y3" s="32" t="s">
        <v>249</v>
      </c>
      <c r="Z3" s="32" t="s">
        <v>248</v>
      </c>
      <c r="AA3" s="32" t="s">
        <v>336</v>
      </c>
      <c r="AB3" s="32" t="s">
        <v>335</v>
      </c>
      <c r="AC3" s="32" t="s">
        <v>344</v>
      </c>
    </row>
    <row r="4" spans="1:29" ht="15" customHeight="1" x14ac:dyDescent="0.25">
      <c r="A4" s="76" t="s">
        <v>105</v>
      </c>
      <c r="B4" s="41">
        <v>42935</v>
      </c>
      <c r="C4" s="33">
        <v>8</v>
      </c>
      <c r="D4" s="33" t="s">
        <v>5</v>
      </c>
      <c r="E4" s="33"/>
      <c r="F4" s="33"/>
      <c r="G4" s="33" t="s">
        <v>42</v>
      </c>
      <c r="H4" s="84">
        <f>_xlfn.IFNA(VLOOKUP(Output_Table[[#This Row],[Progress]],ProgressCalculation_List,6,FALSE),"")</f>
        <v>1.0000000000000002</v>
      </c>
      <c r="I4" s="85"/>
      <c r="J4" s="87">
        <v>42946</v>
      </c>
      <c r="K4" s="88">
        <v>8</v>
      </c>
      <c r="L4" s="90"/>
      <c r="M4" s="33"/>
      <c r="N4" s="33"/>
      <c r="O4" s="55">
        <f ca="1">IFERROR(INDIRECT(Output_Table[[#This Row],[Month plan begins]])-INDIRECT(Output_Table[[#This Row],[In stock Month begins]])-Output_Table[[#This Row],[Assembled]],0)</f>
        <v>-54</v>
      </c>
      <c r="P4" s="71">
        <f ca="1">IFERROR(SUBTOTAL(109,INDIRECT(Output_Table[[#This Row],[First cell]]):INDIRECT(Output_Table[[#This Row],[Last cell]])),0)</f>
        <v>54</v>
      </c>
      <c r="Q4" s="62">
        <v>0</v>
      </c>
      <c r="R4" s="29">
        <v>0</v>
      </c>
      <c r="S4" s="29" t="s">
        <v>96</v>
      </c>
      <c r="T4" s="71">
        <v>2017</v>
      </c>
      <c r="U4" s="57">
        <f>_xlfn.NUMBERVALUE(Output_Table[[#This Row],[Year]]&amp;TEXT(_xlfn.IFNA(VLOOKUP(Output_Table[[#This Row],[Output month]],OutupMonth_Table[],2,FALSE),""),"00"))</f>
        <v>201707</v>
      </c>
      <c r="V4" s="57">
        <f>_xlfn.NUMBERVALUE(YEAR(Output_Table[[#This Row],[Out by]])&amp; TEXT(MONTH(Output_Table[[#This Row],[Out by]]),"00"))</f>
        <v>201707</v>
      </c>
      <c r="W4" s="57" t="str">
        <f>ADDRESS(MATCH(Output_Table[[#This Row],[Year &amp; month output plan]],Output_Table[[#All],[Year &amp; month output plan]],0)+2,COLUMN(Output_Table[[#This Row],[Out qty]]),4,1)</f>
        <v>K4</v>
      </c>
      <c r="X4" s="57" t="str">
        <f>ADDRESS(MATCH(Output_Table[[#This Row],[Year &amp; month output plan]],Output_Table[[#All],[Year &amp; month output plan]],1)+2,COLUMN(Output_Table[[#This Row],[Out qty]]),4,1)</f>
        <v>K10</v>
      </c>
      <c r="Y4" s="57" t="str">
        <f>ADDRESS(MATCH(Output_Table[[#This Row],[Year &amp; month output plan]],Output_Table[[#All],[Year &amp; month output plan]],0)+2,COLUMN(Output_Table[[#This Row],[In stock (month begins)]]),4,1)</f>
        <v>Q4</v>
      </c>
      <c r="Z4" s="57" t="str">
        <f>ADDRESS(MATCH(Output_Table[[#This Row],[Year &amp; month output plan]],Output_Table[[#All],[Year &amp; month output plan]],0)+2,COLUMN(Output_Table[[#This Row],[Month plan]]),4,1)</f>
        <v>R4</v>
      </c>
      <c r="AA4" s="57">
        <f>IF(MATCH(Output_Table[[#This Row],[Year &amp; month output plan]],Output_Table[[#All],[Year &amp; month output plan]],0)+2=ROW(Output_Table[[#This Row],[Job]]),1,0)</f>
        <v>1</v>
      </c>
      <c r="AB4" s="57">
        <f>IF(MATCH(Output_Table[[#This Row],[Year &amp; month output plan]],Output_Table[[#All],[Year &amp; month output plan]],1)+2=ROW(Output_Table[[#This Row],[Job]]),1,0)</f>
        <v>0</v>
      </c>
      <c r="AC4" s="57">
        <f>IFERROR(VALUE(LEFT(Output_Table[[#This Row],[Progress]],2)),"")</f>
        <v>20</v>
      </c>
    </row>
    <row r="5" spans="1:29" ht="15" customHeight="1" x14ac:dyDescent="0.25">
      <c r="A5" s="76" t="s">
        <v>107</v>
      </c>
      <c r="B5" s="41">
        <v>42934</v>
      </c>
      <c r="C5" s="33">
        <v>8</v>
      </c>
      <c r="D5" s="33" t="s">
        <v>5</v>
      </c>
      <c r="E5" s="33"/>
      <c r="F5" s="33"/>
      <c r="G5" s="33" t="s">
        <v>42</v>
      </c>
      <c r="H5" s="84">
        <f>_xlfn.IFNA(VLOOKUP(Output_Table[[#This Row],[Progress]],ProgressCalculation_List,6,FALSE),"")</f>
        <v>1.0000000000000002</v>
      </c>
      <c r="I5" s="85"/>
      <c r="J5" s="87">
        <v>42946</v>
      </c>
      <c r="K5" s="88">
        <v>8</v>
      </c>
      <c r="L5" s="90"/>
      <c r="M5" s="33"/>
      <c r="N5" s="33"/>
      <c r="O5" s="55">
        <f ca="1">IFERROR(INDIRECT(Output_Table[[#This Row],[Month plan begins]])-INDIRECT(Output_Table[[#This Row],[In stock Month begins]])-Output_Table[[#This Row],[Assembled]],0)</f>
        <v>-54</v>
      </c>
      <c r="P5" s="71">
        <f ca="1">IFERROR(SUBTOTAL(109,INDIRECT(Output_Table[[#This Row],[First cell]]):INDIRECT(Output_Table[[#This Row],[Last cell]])),0)</f>
        <v>54</v>
      </c>
      <c r="Q5" s="62"/>
      <c r="R5" s="29"/>
      <c r="S5" s="29" t="s">
        <v>96</v>
      </c>
      <c r="T5" s="61">
        <v>2017</v>
      </c>
      <c r="U5" s="57">
        <f>_xlfn.NUMBERVALUE(Output_Table[[#This Row],[Year]]&amp;TEXT(_xlfn.IFNA(VLOOKUP(Output_Table[[#This Row],[Output month]],OutupMonth_Table[],2,FALSE),""),"00"))</f>
        <v>201707</v>
      </c>
      <c r="V5" s="57">
        <f>_xlfn.NUMBERVALUE(YEAR(Output_Table[[#This Row],[Out by]])&amp; TEXT(MONTH(Output_Table[[#This Row],[Out by]]),"00"))</f>
        <v>201707</v>
      </c>
      <c r="W5" s="57" t="str">
        <f>ADDRESS(MATCH(Output_Table[[#This Row],[Year &amp; month output plan]],Output_Table[[#All],[Year &amp; month output plan]],0)+2,COLUMN(Output_Table[[#This Row],[Out qty]]),4,1)</f>
        <v>K4</v>
      </c>
      <c r="X5" s="57" t="str">
        <f>ADDRESS(MATCH(Output_Table[[#This Row],[Year &amp; month output plan]],Output_Table[[#All],[Year &amp; month output plan]],1)+2,COLUMN(Output_Table[[#This Row],[Out qty]]),4,1)</f>
        <v>K10</v>
      </c>
      <c r="Y5" s="57" t="str">
        <f>ADDRESS(MATCH(Output_Table[[#This Row],[Year &amp; month output plan]],Output_Table[[#All],[Year &amp; month output plan]],0)+2,COLUMN(Output_Table[[#This Row],[In stock (month begins)]]),4,1)</f>
        <v>Q4</v>
      </c>
      <c r="Z5" s="57" t="str">
        <f>ADDRESS(MATCH(Output_Table[[#This Row],[Year &amp; month output plan]],Output_Table[[#All],[Year &amp; month output plan]],0)+2,COLUMN(Output_Table[[#This Row],[Month plan]]),4,1)</f>
        <v>R4</v>
      </c>
      <c r="AA5" s="57">
        <f>IF(MATCH(Output_Table[[#This Row],[Year &amp; month output plan]],Output_Table[[#All],[Year &amp; month output plan]],0)+2=ROW(Output_Table[[#This Row],[Job]]),1,0)</f>
        <v>0</v>
      </c>
      <c r="AB5" s="57">
        <f>IF(MATCH(Output_Table[[#This Row],[Year &amp; month output plan]],Output_Table[[#All],[Year &amp; month output plan]],1)+2=ROW(Output_Table[[#This Row],[Job]]),1,0)</f>
        <v>0</v>
      </c>
      <c r="AC5" s="57">
        <f>IFERROR(VALUE(LEFT(Output_Table[[#This Row],[Progress]],2)),"")</f>
        <v>20</v>
      </c>
    </row>
    <row r="6" spans="1:29" ht="15" customHeight="1" x14ac:dyDescent="0.25">
      <c r="A6" s="76" t="s">
        <v>8</v>
      </c>
      <c r="B6" s="41">
        <v>42934</v>
      </c>
      <c r="C6" s="33">
        <v>8</v>
      </c>
      <c r="D6" s="33" t="s">
        <v>5</v>
      </c>
      <c r="E6" s="33"/>
      <c r="F6" s="33"/>
      <c r="G6" s="33" t="s">
        <v>42</v>
      </c>
      <c r="H6" s="84">
        <f>_xlfn.IFNA(VLOOKUP(Output_Table[[#This Row],[Progress]],ProgressCalculation_List,6,FALSE),"")</f>
        <v>1.0000000000000002</v>
      </c>
      <c r="I6" s="85"/>
      <c r="J6" s="87">
        <v>42946</v>
      </c>
      <c r="K6" s="88">
        <v>8</v>
      </c>
      <c r="L6" s="90"/>
      <c r="M6" s="33"/>
      <c r="N6" s="42"/>
      <c r="O6" s="55">
        <f ca="1">IFERROR(INDIRECT(Output_Table[[#This Row],[Month plan begins]])-INDIRECT(Output_Table[[#This Row],[In stock Month begins]])-Output_Table[[#This Row],[Assembled]],0)</f>
        <v>-54</v>
      </c>
      <c r="P6" s="71">
        <f ca="1">IFERROR(SUBTOTAL(109,INDIRECT(Output_Table[[#This Row],[First cell]]):INDIRECT(Output_Table[[#This Row],[Last cell]])),0)</f>
        <v>54</v>
      </c>
      <c r="Q6" s="62"/>
      <c r="R6" s="29"/>
      <c r="S6" s="29" t="s">
        <v>96</v>
      </c>
      <c r="T6" s="61">
        <v>2017</v>
      </c>
      <c r="U6" s="57">
        <f>_xlfn.NUMBERVALUE(Output_Table[[#This Row],[Year]]&amp;TEXT(_xlfn.IFNA(VLOOKUP(Output_Table[[#This Row],[Output month]],OutupMonth_Table[],2,FALSE),""),"00"))</f>
        <v>201707</v>
      </c>
      <c r="V6" s="57">
        <f>_xlfn.NUMBERVALUE(YEAR(Output_Table[[#This Row],[Out by]])&amp; TEXT(MONTH(Output_Table[[#This Row],[Out by]]),"00"))</f>
        <v>201707</v>
      </c>
      <c r="W6" s="57" t="str">
        <f>ADDRESS(MATCH(Output_Table[[#This Row],[Year &amp; month output plan]],Output_Table[[#All],[Year &amp; month output plan]],0)+2,COLUMN(Output_Table[[#This Row],[Out qty]]),4,1)</f>
        <v>K4</v>
      </c>
      <c r="X6" s="57" t="str">
        <f>ADDRESS(MATCH(Output_Table[[#This Row],[Year &amp; month output plan]],Output_Table[[#All],[Year &amp; month output plan]],1)+2,COLUMN(Output_Table[[#This Row],[Out qty]]),4,1)</f>
        <v>K10</v>
      </c>
      <c r="Y6" s="57" t="str">
        <f>ADDRESS(MATCH(Output_Table[[#This Row],[Year &amp; month output plan]],Output_Table[[#All],[Year &amp; month output plan]],0)+2,COLUMN(Output_Table[[#This Row],[In stock (month begins)]]),4,1)</f>
        <v>Q4</v>
      </c>
      <c r="Z6" s="57" t="str">
        <f>ADDRESS(MATCH(Output_Table[[#This Row],[Year &amp; month output plan]],Output_Table[[#All],[Year &amp; month output plan]],0)+2,COLUMN(Output_Table[[#This Row],[Month plan]]),4,1)</f>
        <v>R4</v>
      </c>
      <c r="AA6" s="57">
        <f>IF(MATCH(Output_Table[[#This Row],[Year &amp; month output plan]],Output_Table[[#All],[Year &amp; month output plan]],0)+2=ROW(Output_Table[[#This Row],[Job]]),1,0)</f>
        <v>0</v>
      </c>
      <c r="AB6" s="57">
        <f>IF(MATCH(Output_Table[[#This Row],[Year &amp; month output plan]],Output_Table[[#All],[Year &amp; month output plan]],1)+2=ROW(Output_Table[[#This Row],[Job]]),1,0)</f>
        <v>0</v>
      </c>
      <c r="AC6" s="57">
        <f>IFERROR(VALUE(LEFT(Output_Table[[#This Row],[Progress]],2)),"")</f>
        <v>20</v>
      </c>
    </row>
    <row r="7" spans="1:29" ht="15" customHeight="1" x14ac:dyDescent="0.25">
      <c r="A7" s="76" t="s">
        <v>108</v>
      </c>
      <c r="B7" s="41">
        <v>42933</v>
      </c>
      <c r="C7" s="33">
        <v>8</v>
      </c>
      <c r="D7" s="33" t="s">
        <v>5</v>
      </c>
      <c r="E7" s="33"/>
      <c r="F7" s="33"/>
      <c r="G7" s="33" t="s">
        <v>42</v>
      </c>
      <c r="H7" s="84">
        <f>_xlfn.IFNA(VLOOKUP(Output_Table[[#This Row],[Progress]],ProgressCalculation_List,6,FALSE),"")</f>
        <v>1.0000000000000002</v>
      </c>
      <c r="I7" s="85"/>
      <c r="J7" s="87">
        <v>42946</v>
      </c>
      <c r="K7" s="88">
        <v>8</v>
      </c>
      <c r="L7" s="90"/>
      <c r="M7" s="33"/>
      <c r="N7" s="33"/>
      <c r="O7" s="55">
        <f ca="1">IFERROR(INDIRECT(Output_Table[[#This Row],[Month plan begins]])-INDIRECT(Output_Table[[#This Row],[In stock Month begins]])-Output_Table[[#This Row],[Assembled]],0)</f>
        <v>-54</v>
      </c>
      <c r="P7" s="71">
        <f ca="1">IFERROR(SUBTOTAL(109,INDIRECT(Output_Table[[#This Row],[First cell]]):INDIRECT(Output_Table[[#This Row],[Last cell]])),0)</f>
        <v>54</v>
      </c>
      <c r="Q7" s="62"/>
      <c r="R7" s="29"/>
      <c r="S7" s="29" t="s">
        <v>96</v>
      </c>
      <c r="T7" s="61">
        <v>2017</v>
      </c>
      <c r="U7" s="57">
        <f>_xlfn.NUMBERVALUE(Output_Table[[#This Row],[Year]]&amp;TEXT(_xlfn.IFNA(VLOOKUP(Output_Table[[#This Row],[Output month]],OutupMonth_Table[],2,FALSE),""),"00"))</f>
        <v>201707</v>
      </c>
      <c r="V7" s="57">
        <f>_xlfn.NUMBERVALUE(YEAR(Output_Table[[#This Row],[Out by]])&amp; TEXT(MONTH(Output_Table[[#This Row],[Out by]]),"00"))</f>
        <v>201707</v>
      </c>
      <c r="W7" s="57" t="str">
        <f>ADDRESS(MATCH(Output_Table[[#This Row],[Year &amp; month output plan]],Output_Table[[#All],[Year &amp; month output plan]],0)+2,COLUMN(Output_Table[[#This Row],[Out qty]]),4,1)</f>
        <v>K4</v>
      </c>
      <c r="X7" s="57" t="str">
        <f>ADDRESS(MATCH(Output_Table[[#This Row],[Year &amp; month output plan]],Output_Table[[#All],[Year &amp; month output plan]],1)+2,COLUMN(Output_Table[[#This Row],[Out qty]]),4,1)</f>
        <v>K10</v>
      </c>
      <c r="Y7" s="57" t="str">
        <f>ADDRESS(MATCH(Output_Table[[#This Row],[Year &amp; month output plan]],Output_Table[[#All],[Year &amp; month output plan]],0)+2,COLUMN(Output_Table[[#This Row],[In stock (month begins)]]),4,1)</f>
        <v>Q4</v>
      </c>
      <c r="Z7" s="57" t="str">
        <f>ADDRESS(MATCH(Output_Table[[#This Row],[Year &amp; month output plan]],Output_Table[[#All],[Year &amp; month output plan]],0)+2,COLUMN(Output_Table[[#This Row],[Month plan]]),4,1)</f>
        <v>R4</v>
      </c>
      <c r="AA7" s="57">
        <f>IF(MATCH(Output_Table[[#This Row],[Year &amp; month output plan]],Output_Table[[#All],[Year &amp; month output plan]],0)+2=ROW(Output_Table[[#This Row],[Job]]),1,0)</f>
        <v>0</v>
      </c>
      <c r="AB7" s="57">
        <f>IF(MATCH(Output_Table[[#This Row],[Year &amp; month output plan]],Output_Table[[#All],[Year &amp; month output plan]],1)+2=ROW(Output_Table[[#This Row],[Job]]),1,0)</f>
        <v>0</v>
      </c>
      <c r="AC7" s="57">
        <f>IFERROR(VALUE(LEFT(Output_Table[[#This Row],[Progress]],2)),"")</f>
        <v>20</v>
      </c>
    </row>
    <row r="8" spans="1:29" ht="15" customHeight="1" x14ac:dyDescent="0.25">
      <c r="A8" s="76" t="s">
        <v>109</v>
      </c>
      <c r="B8" s="41">
        <v>42933</v>
      </c>
      <c r="C8" s="33">
        <v>8</v>
      </c>
      <c r="D8" s="33" t="s">
        <v>5</v>
      </c>
      <c r="E8" s="33"/>
      <c r="F8" s="33"/>
      <c r="G8" s="33" t="s">
        <v>42</v>
      </c>
      <c r="H8" s="84">
        <f>_xlfn.IFNA(VLOOKUP(Output_Table[[#This Row],[Progress]],ProgressCalculation_List,6,FALSE),"")</f>
        <v>1.0000000000000002</v>
      </c>
      <c r="I8" s="85"/>
      <c r="J8" s="87">
        <v>42946</v>
      </c>
      <c r="K8" s="88">
        <v>7</v>
      </c>
      <c r="L8" s="91" t="s">
        <v>201</v>
      </c>
      <c r="M8" s="33"/>
      <c r="N8" s="33"/>
      <c r="O8" s="55">
        <f ca="1">IFERROR(INDIRECT(Output_Table[[#This Row],[Month plan begins]])-INDIRECT(Output_Table[[#This Row],[In stock Month begins]])-Output_Table[[#This Row],[Assembled]],0)</f>
        <v>-54</v>
      </c>
      <c r="P8" s="71">
        <f ca="1">IFERROR(SUBTOTAL(109,INDIRECT(Output_Table[[#This Row],[First cell]]):INDIRECT(Output_Table[[#This Row],[Last cell]])),0)</f>
        <v>54</v>
      </c>
      <c r="Q8" s="62"/>
      <c r="R8" s="29"/>
      <c r="S8" s="29" t="s">
        <v>96</v>
      </c>
      <c r="T8" s="61">
        <v>2017</v>
      </c>
      <c r="U8" s="57">
        <f>_xlfn.NUMBERVALUE(Output_Table[[#This Row],[Year]]&amp;TEXT(_xlfn.IFNA(VLOOKUP(Output_Table[[#This Row],[Output month]],OutupMonth_Table[],2,FALSE),""),"00"))</f>
        <v>201707</v>
      </c>
      <c r="V8" s="57">
        <f>_xlfn.NUMBERVALUE(YEAR(Output_Table[[#This Row],[Out by]])&amp; TEXT(MONTH(Output_Table[[#This Row],[Out by]]),"00"))</f>
        <v>201707</v>
      </c>
      <c r="W8" s="57" t="str">
        <f>ADDRESS(MATCH(Output_Table[[#This Row],[Year &amp; month output plan]],Output_Table[[#All],[Year &amp; month output plan]],0)+2,COLUMN(Output_Table[[#This Row],[Out qty]]),4,1)</f>
        <v>K4</v>
      </c>
      <c r="X8" s="57" t="str">
        <f>ADDRESS(MATCH(Output_Table[[#This Row],[Year &amp; month output plan]],Output_Table[[#All],[Year &amp; month output plan]],1)+2,COLUMN(Output_Table[[#This Row],[Out qty]]),4,1)</f>
        <v>K10</v>
      </c>
      <c r="Y8" s="57" t="str">
        <f>ADDRESS(MATCH(Output_Table[[#This Row],[Year &amp; month output plan]],Output_Table[[#All],[Year &amp; month output plan]],0)+2,COLUMN(Output_Table[[#This Row],[In stock (month begins)]]),4,1)</f>
        <v>Q4</v>
      </c>
      <c r="Z8" s="57" t="str">
        <f>ADDRESS(MATCH(Output_Table[[#This Row],[Year &amp; month output plan]],Output_Table[[#All],[Year &amp; month output plan]],0)+2,COLUMN(Output_Table[[#This Row],[Month plan]]),4,1)</f>
        <v>R4</v>
      </c>
      <c r="AA8" s="57">
        <f>IF(MATCH(Output_Table[[#This Row],[Year &amp; month output plan]],Output_Table[[#All],[Year &amp; month output plan]],0)+2=ROW(Output_Table[[#This Row],[Job]]),1,0)</f>
        <v>0</v>
      </c>
      <c r="AB8" s="57">
        <f>IF(MATCH(Output_Table[[#This Row],[Year &amp; month output plan]],Output_Table[[#All],[Year &amp; month output plan]],1)+2=ROW(Output_Table[[#This Row],[Job]]),1,0)</f>
        <v>0</v>
      </c>
      <c r="AC8" s="57">
        <f>IFERROR(VALUE(LEFT(Output_Table[[#This Row],[Progress]],2)),"")</f>
        <v>20</v>
      </c>
    </row>
    <row r="9" spans="1:29" ht="15" customHeight="1" x14ac:dyDescent="0.25">
      <c r="A9" s="76" t="s">
        <v>110</v>
      </c>
      <c r="B9" s="41">
        <v>42933</v>
      </c>
      <c r="C9" s="33">
        <v>8</v>
      </c>
      <c r="D9" s="33" t="s">
        <v>5</v>
      </c>
      <c r="E9" s="33"/>
      <c r="F9" s="33"/>
      <c r="G9" s="33" t="s">
        <v>42</v>
      </c>
      <c r="H9" s="84">
        <f>_xlfn.IFNA(VLOOKUP(Output_Table[[#This Row],[Progress]],ProgressCalculation_List,6,FALSE),"")</f>
        <v>1.0000000000000002</v>
      </c>
      <c r="I9" s="85"/>
      <c r="J9" s="87">
        <v>42946</v>
      </c>
      <c r="K9" s="88">
        <v>8</v>
      </c>
      <c r="L9" s="90"/>
      <c r="M9" s="33"/>
      <c r="N9" s="33"/>
      <c r="O9" s="55">
        <f ca="1">IFERROR(INDIRECT(Output_Table[[#This Row],[Month plan begins]])-INDIRECT(Output_Table[[#This Row],[In stock Month begins]])-Output_Table[[#This Row],[Assembled]],0)</f>
        <v>-54</v>
      </c>
      <c r="P9" s="71">
        <f ca="1">IFERROR(SUBTOTAL(109,INDIRECT(Output_Table[[#This Row],[First cell]]):INDIRECT(Output_Table[[#This Row],[Last cell]])),0)</f>
        <v>54</v>
      </c>
      <c r="Q9" s="62"/>
      <c r="R9" s="29"/>
      <c r="S9" s="29" t="s">
        <v>96</v>
      </c>
      <c r="T9" s="61">
        <v>2017</v>
      </c>
      <c r="U9" s="57">
        <f>_xlfn.NUMBERVALUE(Output_Table[[#This Row],[Year]]&amp;TEXT(_xlfn.IFNA(VLOOKUP(Output_Table[[#This Row],[Output month]],OutupMonth_Table[],2,FALSE),""),"00"))</f>
        <v>201707</v>
      </c>
      <c r="V9" s="57">
        <f>_xlfn.NUMBERVALUE(YEAR(Output_Table[[#This Row],[Out by]])&amp; TEXT(MONTH(Output_Table[[#This Row],[Out by]]),"00"))</f>
        <v>201707</v>
      </c>
      <c r="W9" s="57" t="str">
        <f>ADDRESS(MATCH(Output_Table[[#This Row],[Year &amp; month output plan]],Output_Table[[#All],[Year &amp; month output plan]],0)+2,COLUMN(Output_Table[[#This Row],[Out qty]]),4,1)</f>
        <v>K4</v>
      </c>
      <c r="X9" s="57" t="str">
        <f>ADDRESS(MATCH(Output_Table[[#This Row],[Year &amp; month output plan]],Output_Table[[#All],[Year &amp; month output plan]],1)+2,COLUMN(Output_Table[[#This Row],[Out qty]]),4,1)</f>
        <v>K10</v>
      </c>
      <c r="Y9" s="57" t="str">
        <f>ADDRESS(MATCH(Output_Table[[#This Row],[Year &amp; month output plan]],Output_Table[[#All],[Year &amp; month output plan]],0)+2,COLUMN(Output_Table[[#This Row],[In stock (month begins)]]),4,1)</f>
        <v>Q4</v>
      </c>
      <c r="Z9" s="57" t="str">
        <f>ADDRESS(MATCH(Output_Table[[#This Row],[Year &amp; month output plan]],Output_Table[[#All],[Year &amp; month output plan]],0)+2,COLUMN(Output_Table[[#This Row],[Month plan]]),4,1)</f>
        <v>R4</v>
      </c>
      <c r="AA9" s="57">
        <f>IF(MATCH(Output_Table[[#This Row],[Year &amp; month output plan]],Output_Table[[#All],[Year &amp; month output plan]],0)+2=ROW(Output_Table[[#This Row],[Job]]),1,0)</f>
        <v>0</v>
      </c>
      <c r="AB9" s="57">
        <f>IF(MATCH(Output_Table[[#This Row],[Year &amp; month output plan]],Output_Table[[#All],[Year &amp; month output plan]],1)+2=ROW(Output_Table[[#This Row],[Job]]),1,0)</f>
        <v>0</v>
      </c>
      <c r="AC9" s="57">
        <f>IFERROR(VALUE(LEFT(Output_Table[[#This Row],[Progress]],2)),"")</f>
        <v>20</v>
      </c>
    </row>
    <row r="10" spans="1:29" x14ac:dyDescent="0.25">
      <c r="A10" s="77" t="s">
        <v>106</v>
      </c>
      <c r="B10" s="43">
        <v>42935</v>
      </c>
      <c r="C10" s="34">
        <v>8</v>
      </c>
      <c r="D10" s="33" t="s">
        <v>5</v>
      </c>
      <c r="E10" s="33" t="s">
        <v>13</v>
      </c>
      <c r="F10" s="44" t="s">
        <v>28</v>
      </c>
      <c r="G10" s="33" t="s">
        <v>42</v>
      </c>
      <c r="H10" s="84">
        <f>_xlfn.IFNA(VLOOKUP(Output_Table[[#This Row],[Progress]],ProgressCalculation_List,6,FALSE),"")</f>
        <v>1.0000000000000002</v>
      </c>
      <c r="I10" s="85"/>
      <c r="J10" s="87">
        <v>42951</v>
      </c>
      <c r="K10" s="88">
        <v>7</v>
      </c>
      <c r="L10" s="90"/>
      <c r="M10" s="33"/>
      <c r="N10" s="43" t="s">
        <v>203</v>
      </c>
      <c r="O10" s="55">
        <f ca="1">IFERROR(INDIRECT(Output_Table[[#This Row],[Month plan begins]])-INDIRECT(Output_Table[[#This Row],[In stock Month begins]])-Output_Table[[#This Row],[Assembled]],0)</f>
        <v>-54</v>
      </c>
      <c r="P10" s="71">
        <f ca="1">IFERROR(SUBTOTAL(109,INDIRECT(Output_Table[[#This Row],[First cell]]):INDIRECT(Output_Table[[#This Row],[Last cell]])),0)</f>
        <v>54</v>
      </c>
      <c r="Q10" s="29"/>
      <c r="R10" s="29"/>
      <c r="S10" s="29" t="s">
        <v>96</v>
      </c>
      <c r="T10" s="61">
        <v>2017</v>
      </c>
      <c r="U10" s="57">
        <f>_xlfn.NUMBERVALUE(Output_Table[[#This Row],[Year]]&amp;TEXT(_xlfn.IFNA(VLOOKUP(Output_Table[[#This Row],[Output month]],OutupMonth_Table[],2,FALSE),""),"00"))</f>
        <v>201707</v>
      </c>
      <c r="V10" s="57">
        <f>_xlfn.NUMBERVALUE(YEAR(Output_Table[[#This Row],[Out by]])&amp; TEXT(MONTH(Output_Table[[#This Row],[Out by]]),"00"))</f>
        <v>201708</v>
      </c>
      <c r="W10" s="57" t="str">
        <f>ADDRESS(MATCH(Output_Table[[#This Row],[Year &amp; month output plan]],Output_Table[[#All],[Year &amp; month output plan]],0)+2,COLUMN(Output_Table[[#This Row],[Out qty]]),4,1)</f>
        <v>K4</v>
      </c>
      <c r="X10" s="57" t="str">
        <f>ADDRESS(MATCH(Output_Table[[#This Row],[Year &amp; month output plan]],Output_Table[[#All],[Year &amp; month output plan]],1)+2,COLUMN(Output_Table[[#This Row],[Out qty]]),4,1)</f>
        <v>K10</v>
      </c>
      <c r="Y10" s="57" t="str">
        <f>ADDRESS(MATCH(Output_Table[[#This Row],[Year &amp; month output plan]],Output_Table[[#All],[Year &amp; month output plan]],0)+2,COLUMN(Output_Table[[#This Row],[In stock (month begins)]]),4,1)</f>
        <v>Q4</v>
      </c>
      <c r="Z10" s="57" t="str">
        <f>ADDRESS(MATCH(Output_Table[[#This Row],[Year &amp; month output plan]],Output_Table[[#All],[Year &amp; month output plan]],0)+2,COLUMN(Output_Table[[#This Row],[Month plan]]),4,1)</f>
        <v>R4</v>
      </c>
      <c r="AA10" s="57">
        <f>IF(MATCH(Output_Table[[#This Row],[Year &amp; month output plan]],Output_Table[[#All],[Year &amp; month output plan]],0)+2=ROW(Output_Table[[#This Row],[Job]]),1,0)</f>
        <v>0</v>
      </c>
      <c r="AB10" s="57">
        <f>IF(MATCH(Output_Table[[#This Row],[Year &amp; month output plan]],Output_Table[[#All],[Year &amp; month output plan]],1)+2=ROW(Output_Table[[#This Row],[Job]]),1,0)</f>
        <v>1</v>
      </c>
      <c r="AC10" s="57">
        <f>IFERROR(VALUE(LEFT(Output_Table[[#This Row],[Progress]],2)),"")</f>
        <v>20</v>
      </c>
    </row>
    <row r="11" spans="1:29" x14ac:dyDescent="0.25">
      <c r="A11" s="78" t="s">
        <v>111</v>
      </c>
      <c r="B11" s="44">
        <v>42936</v>
      </c>
      <c r="C11" s="35">
        <v>8</v>
      </c>
      <c r="D11" s="33" t="s">
        <v>5</v>
      </c>
      <c r="E11" s="33" t="s">
        <v>13</v>
      </c>
      <c r="F11" s="44" t="s">
        <v>28</v>
      </c>
      <c r="G11" s="33" t="s">
        <v>42</v>
      </c>
      <c r="H11" s="84">
        <f>_xlfn.IFNA(VLOOKUP(Output_Table[[#This Row],[Progress]],ProgressCalculation_List,6,FALSE),"")</f>
        <v>1.0000000000000002</v>
      </c>
      <c r="I11" s="85"/>
      <c r="J11" s="87">
        <v>42958</v>
      </c>
      <c r="K11" s="88">
        <v>7</v>
      </c>
      <c r="L11" s="90"/>
      <c r="M11" s="45">
        <v>42940.489583333336</v>
      </c>
      <c r="N11" s="46" t="s">
        <v>203</v>
      </c>
      <c r="O11" s="55">
        <f ca="1">IFERROR(INDIRECT(Output_Table[[#This Row],[Month plan begins]])-INDIRECT(Output_Table[[#This Row],[In stock Month begins]])-Output_Table[[#This Row],[Assembled]],0)</f>
        <v>-47</v>
      </c>
      <c r="P11" s="71">
        <f ca="1">IFERROR(SUBTOTAL(109,INDIRECT(Output_Table[[#This Row],[First cell]]):INDIRECT(Output_Table[[#This Row],[Last cell]])),0)</f>
        <v>47</v>
      </c>
      <c r="Q11" s="29">
        <v>0</v>
      </c>
      <c r="R11" s="29">
        <v>0</v>
      </c>
      <c r="S11" s="29" t="s">
        <v>97</v>
      </c>
      <c r="T11" s="61">
        <v>2017</v>
      </c>
      <c r="U11" s="57">
        <f>_xlfn.NUMBERVALUE(Output_Table[[#This Row],[Year]]&amp;TEXT(_xlfn.IFNA(VLOOKUP(Output_Table[[#This Row],[Output month]],OutupMonth_Table[],2,FALSE),""),"00"))</f>
        <v>201708</v>
      </c>
      <c r="V11" s="57">
        <f>_xlfn.NUMBERVALUE(YEAR(Output_Table[[#This Row],[Out by]])&amp; TEXT(MONTH(Output_Table[[#This Row],[Out by]]),"00"))</f>
        <v>201708</v>
      </c>
      <c r="W11" s="57" t="str">
        <f>ADDRESS(MATCH(Output_Table[[#This Row],[Year &amp; month output plan]],Output_Table[[#All],[Year &amp; month output plan]],0)+2,COLUMN(Output_Table[[#This Row],[Out qty]]),4,1)</f>
        <v>K11</v>
      </c>
      <c r="X11" s="57" t="str">
        <f>ADDRESS(MATCH(Output_Table[[#This Row],[Year &amp; month output plan]],Output_Table[[#All],[Year &amp; month output plan]],1)+2,COLUMN(Output_Table[[#This Row],[Out qty]]),4,1)</f>
        <v>K17</v>
      </c>
      <c r="Y11" s="57" t="str">
        <f>ADDRESS(MATCH(Output_Table[[#This Row],[Year &amp; month output plan]],Output_Table[[#All],[Year &amp; month output plan]],0)+2,COLUMN(Output_Table[[#This Row],[In stock (month begins)]]),4,1)</f>
        <v>Q11</v>
      </c>
      <c r="Z11" s="57" t="str">
        <f>ADDRESS(MATCH(Output_Table[[#This Row],[Year &amp; month output plan]],Output_Table[[#All],[Year &amp; month output plan]],0)+2,COLUMN(Output_Table[[#This Row],[Month plan]]),4,1)</f>
        <v>R11</v>
      </c>
      <c r="AA11" s="57">
        <f>IF(MATCH(Output_Table[[#This Row],[Year &amp; month output plan]],Output_Table[[#All],[Year &amp; month output plan]],0)+2=ROW(Output_Table[[#This Row],[Job]]),1,0)</f>
        <v>1</v>
      </c>
      <c r="AB11" s="57">
        <f>IF(MATCH(Output_Table[[#This Row],[Year &amp; month output plan]],Output_Table[[#All],[Year &amp; month output plan]],1)+2=ROW(Output_Table[[#This Row],[Job]]),1,0)</f>
        <v>0</v>
      </c>
      <c r="AC11" s="57">
        <f>IFERROR(VALUE(LEFT(Output_Table[[#This Row],[Progress]],2)),"")</f>
        <v>20</v>
      </c>
    </row>
    <row r="12" spans="1:29" x14ac:dyDescent="0.25">
      <c r="A12" s="78" t="s">
        <v>111</v>
      </c>
      <c r="B12" s="44">
        <v>42936</v>
      </c>
      <c r="C12" s="35">
        <v>8</v>
      </c>
      <c r="D12" s="33" t="s">
        <v>5</v>
      </c>
      <c r="E12" s="33"/>
      <c r="F12" s="35"/>
      <c r="G12" s="33" t="s">
        <v>42</v>
      </c>
      <c r="H12" s="84">
        <f>_xlfn.IFNA(VLOOKUP(Output_Table[[#This Row],[Progress]],ProgressCalculation_List,6,FALSE),"")</f>
        <v>1.0000000000000002</v>
      </c>
      <c r="I12" s="85"/>
      <c r="J12" s="87">
        <v>42958</v>
      </c>
      <c r="K12" s="88">
        <v>1</v>
      </c>
      <c r="L12" s="90"/>
      <c r="M12" s="45">
        <v>42948.395833333336</v>
      </c>
      <c r="N12" s="46" t="s">
        <v>203</v>
      </c>
      <c r="O12" s="55">
        <f ca="1">IFERROR(INDIRECT(Output_Table[[#This Row],[Month plan begins]])-INDIRECT(Output_Table[[#This Row],[In stock Month begins]])-Output_Table[[#This Row],[Assembled]],0)</f>
        <v>-47</v>
      </c>
      <c r="P12" s="71">
        <f ca="1">IFERROR(SUBTOTAL(109,INDIRECT(Output_Table[[#This Row],[First cell]]):INDIRECT(Output_Table[[#This Row],[Last cell]])),0)</f>
        <v>47</v>
      </c>
      <c r="Q12" s="29"/>
      <c r="R12" s="29"/>
      <c r="S12" s="29" t="s">
        <v>97</v>
      </c>
      <c r="T12" s="61">
        <v>2017</v>
      </c>
      <c r="U12" s="57">
        <f>_xlfn.NUMBERVALUE(Output_Table[[#This Row],[Year]]&amp;TEXT(_xlfn.IFNA(VLOOKUP(Output_Table[[#This Row],[Output month]],OutupMonth_Table[],2,FALSE),""),"00"))</f>
        <v>201708</v>
      </c>
      <c r="V12" s="57">
        <f>_xlfn.NUMBERVALUE(YEAR(Output_Table[[#This Row],[Out by]])&amp; TEXT(MONTH(Output_Table[[#This Row],[Out by]]),"00"))</f>
        <v>201708</v>
      </c>
      <c r="W12" s="57" t="str">
        <f>ADDRESS(MATCH(Output_Table[[#This Row],[Year &amp; month output plan]],Output_Table[[#All],[Year &amp; month output plan]],0)+2,COLUMN(Output_Table[[#This Row],[Out qty]]),4,1)</f>
        <v>K11</v>
      </c>
      <c r="X12" s="57" t="str">
        <f>ADDRESS(MATCH(Output_Table[[#This Row],[Year &amp; month output plan]],Output_Table[[#All],[Year &amp; month output plan]],1)+2,COLUMN(Output_Table[[#This Row],[Out qty]]),4,1)</f>
        <v>K17</v>
      </c>
      <c r="Y12" s="57" t="str">
        <f>ADDRESS(MATCH(Output_Table[[#This Row],[Year &amp; month output plan]],Output_Table[[#All],[Year &amp; month output plan]],0)+2,COLUMN(Output_Table[[#This Row],[In stock (month begins)]]),4,1)</f>
        <v>Q11</v>
      </c>
      <c r="Z12" s="57" t="str">
        <f>ADDRESS(MATCH(Output_Table[[#This Row],[Year &amp; month output plan]],Output_Table[[#All],[Year &amp; month output plan]],0)+2,COLUMN(Output_Table[[#This Row],[Month plan]]),4,1)</f>
        <v>R11</v>
      </c>
      <c r="AA12" s="57">
        <f>IF(MATCH(Output_Table[[#This Row],[Year &amp; month output plan]],Output_Table[[#All],[Year &amp; month output plan]],0)+2=ROW(Output_Table[[#This Row],[Job]]),1,0)</f>
        <v>0</v>
      </c>
      <c r="AB12" s="57">
        <f>IF(MATCH(Output_Table[[#This Row],[Year &amp; month output plan]],Output_Table[[#All],[Year &amp; month output plan]],1)+2=ROW(Output_Table[[#This Row],[Job]]),1,0)</f>
        <v>0</v>
      </c>
      <c r="AC12" s="57">
        <f>IFERROR(VALUE(LEFT(Output_Table[[#This Row],[Progress]],2)),"")</f>
        <v>20</v>
      </c>
    </row>
    <row r="13" spans="1:29" x14ac:dyDescent="0.25">
      <c r="A13" s="76" t="s">
        <v>112</v>
      </c>
      <c r="B13" s="41">
        <v>42936</v>
      </c>
      <c r="C13" s="33">
        <v>8</v>
      </c>
      <c r="D13" s="33" t="s">
        <v>5</v>
      </c>
      <c r="E13" s="33"/>
      <c r="F13" s="33"/>
      <c r="G13" s="33" t="s">
        <v>42</v>
      </c>
      <c r="H13" s="84">
        <f>_xlfn.IFNA(VLOOKUP(Output_Table[[#This Row],[Progress]],ProgressCalculation_List,6,FALSE),"")</f>
        <v>1.0000000000000002</v>
      </c>
      <c r="I13" s="85"/>
      <c r="J13" s="87">
        <v>42958</v>
      </c>
      <c r="K13" s="88">
        <v>8</v>
      </c>
      <c r="L13" s="90"/>
      <c r="M13" s="45">
        <v>42941.65625</v>
      </c>
      <c r="N13" s="33"/>
      <c r="O13" s="55">
        <f ca="1">IFERROR(INDIRECT(Output_Table[[#This Row],[Month plan begins]])-INDIRECT(Output_Table[[#This Row],[In stock Month begins]])-Output_Table[[#This Row],[Assembled]],0)</f>
        <v>-47</v>
      </c>
      <c r="P13" s="71">
        <f ca="1">IFERROR(SUBTOTAL(109,INDIRECT(Output_Table[[#This Row],[First cell]]):INDIRECT(Output_Table[[#This Row],[Last cell]])),0)</f>
        <v>47</v>
      </c>
      <c r="Q13" s="29"/>
      <c r="R13" s="29"/>
      <c r="S13" s="29" t="s">
        <v>97</v>
      </c>
      <c r="T13" s="61">
        <v>2017</v>
      </c>
      <c r="U13" s="57">
        <f>_xlfn.NUMBERVALUE(Output_Table[[#This Row],[Year]]&amp;TEXT(_xlfn.IFNA(VLOOKUP(Output_Table[[#This Row],[Output month]],OutupMonth_Table[],2,FALSE),""),"00"))</f>
        <v>201708</v>
      </c>
      <c r="V13" s="57">
        <f>_xlfn.NUMBERVALUE(YEAR(Output_Table[[#This Row],[Out by]])&amp; TEXT(MONTH(Output_Table[[#This Row],[Out by]]),"00"))</f>
        <v>201708</v>
      </c>
      <c r="W13" s="57" t="str">
        <f>ADDRESS(MATCH(Output_Table[[#This Row],[Year &amp; month output plan]],Output_Table[[#All],[Year &amp; month output plan]],0)+2,COLUMN(Output_Table[[#This Row],[Out qty]]),4,1)</f>
        <v>K11</v>
      </c>
      <c r="X13" s="57" t="str">
        <f>ADDRESS(MATCH(Output_Table[[#This Row],[Year &amp; month output plan]],Output_Table[[#All],[Year &amp; month output plan]],1)+2,COLUMN(Output_Table[[#This Row],[Out qty]]),4,1)</f>
        <v>K17</v>
      </c>
      <c r="Y13" s="57" t="str">
        <f>ADDRESS(MATCH(Output_Table[[#This Row],[Year &amp; month output plan]],Output_Table[[#All],[Year &amp; month output plan]],0)+2,COLUMN(Output_Table[[#This Row],[In stock (month begins)]]),4,1)</f>
        <v>Q11</v>
      </c>
      <c r="Z13" s="57" t="str">
        <f>ADDRESS(MATCH(Output_Table[[#This Row],[Year &amp; month output plan]],Output_Table[[#All],[Year &amp; month output plan]],0)+2,COLUMN(Output_Table[[#This Row],[Month plan]]),4,1)</f>
        <v>R11</v>
      </c>
      <c r="AA13" s="57">
        <f>IF(MATCH(Output_Table[[#This Row],[Year &amp; month output plan]],Output_Table[[#All],[Year &amp; month output plan]],0)+2=ROW(Output_Table[[#This Row],[Job]]),1,0)</f>
        <v>0</v>
      </c>
      <c r="AB13" s="57">
        <f>IF(MATCH(Output_Table[[#This Row],[Year &amp; month output plan]],Output_Table[[#All],[Year &amp; month output plan]],1)+2=ROW(Output_Table[[#This Row],[Job]]),1,0)</f>
        <v>0</v>
      </c>
      <c r="AC13" s="57">
        <f>IFERROR(VALUE(LEFT(Output_Table[[#This Row],[Progress]],2)),"")</f>
        <v>20</v>
      </c>
    </row>
    <row r="14" spans="1:29" x14ac:dyDescent="0.25">
      <c r="A14" s="77" t="s">
        <v>106</v>
      </c>
      <c r="B14" s="43">
        <v>42935</v>
      </c>
      <c r="C14" s="34">
        <v>8</v>
      </c>
      <c r="D14" s="33" t="s">
        <v>5</v>
      </c>
      <c r="E14" s="33"/>
      <c r="F14" s="34"/>
      <c r="G14" s="33" t="s">
        <v>43</v>
      </c>
      <c r="H14" s="84">
        <f>_xlfn.IFNA(VLOOKUP(Output_Table[[#This Row],[Progress]],ProgressCalculation_List,6,FALSE),"")</f>
        <v>1.0000000000000002</v>
      </c>
      <c r="I14" s="85"/>
      <c r="J14" s="87">
        <v>42965</v>
      </c>
      <c r="K14" s="88">
        <v>0</v>
      </c>
      <c r="L14" s="90" t="s">
        <v>200</v>
      </c>
      <c r="M14" s="45">
        <v>42948.395833333336</v>
      </c>
      <c r="N14" s="43" t="s">
        <v>203</v>
      </c>
      <c r="O14" s="55">
        <f ca="1">IFERROR(INDIRECT(Output_Table[[#This Row],[Month plan begins]])-INDIRECT(Output_Table[[#This Row],[In stock Month begins]])-Output_Table[[#This Row],[Assembled]],0)</f>
        <v>-47</v>
      </c>
      <c r="P14" s="71">
        <f ca="1">IFERROR(SUBTOTAL(109,INDIRECT(Output_Table[[#This Row],[First cell]]):INDIRECT(Output_Table[[#This Row],[Last cell]])),0)</f>
        <v>47</v>
      </c>
      <c r="Q14" s="29"/>
      <c r="R14" s="29"/>
      <c r="S14" s="29" t="s">
        <v>97</v>
      </c>
      <c r="T14" s="61">
        <v>2017</v>
      </c>
      <c r="U14" s="57">
        <f>_xlfn.NUMBERVALUE(Output_Table[[#This Row],[Year]]&amp;TEXT(_xlfn.IFNA(VLOOKUP(Output_Table[[#This Row],[Output month]],OutupMonth_Table[],2,FALSE),""),"00"))</f>
        <v>201708</v>
      </c>
      <c r="V14" s="57">
        <f>_xlfn.NUMBERVALUE(YEAR(Output_Table[[#This Row],[Out by]])&amp; TEXT(MONTH(Output_Table[[#This Row],[Out by]]),"00"))</f>
        <v>201708</v>
      </c>
      <c r="W14" s="57" t="str">
        <f>ADDRESS(MATCH(Output_Table[[#This Row],[Year &amp; month output plan]],Output_Table[[#All],[Year &amp; month output plan]],0)+2,COLUMN(Output_Table[[#This Row],[Out qty]]),4,1)</f>
        <v>K11</v>
      </c>
      <c r="X14" s="57" t="str">
        <f>ADDRESS(MATCH(Output_Table[[#This Row],[Year &amp; month output plan]],Output_Table[[#All],[Year &amp; month output plan]],1)+2,COLUMN(Output_Table[[#This Row],[Out qty]]),4,1)</f>
        <v>K17</v>
      </c>
      <c r="Y14" s="57" t="str">
        <f>ADDRESS(MATCH(Output_Table[[#This Row],[Year &amp; month output plan]],Output_Table[[#All],[Year &amp; month output plan]],0)+2,COLUMN(Output_Table[[#This Row],[In stock (month begins)]]),4,1)</f>
        <v>Q11</v>
      </c>
      <c r="Z14" s="57" t="str">
        <f>ADDRESS(MATCH(Output_Table[[#This Row],[Year &amp; month output plan]],Output_Table[[#All],[Year &amp; month output plan]],0)+2,COLUMN(Output_Table[[#This Row],[Month plan]]),4,1)</f>
        <v>R11</v>
      </c>
      <c r="AA14" s="57">
        <f>IF(MATCH(Output_Table[[#This Row],[Year &amp; month output plan]],Output_Table[[#All],[Year &amp; month output plan]],0)+2=ROW(Output_Table[[#This Row],[Job]]),1,0)</f>
        <v>0</v>
      </c>
      <c r="AB14" s="57">
        <f>IF(MATCH(Output_Table[[#This Row],[Year &amp; month output plan]],Output_Table[[#All],[Year &amp; month output plan]],1)+2=ROW(Output_Table[[#This Row],[Job]]),1,0)</f>
        <v>0</v>
      </c>
      <c r="AC14" s="57">
        <f>IFERROR(VALUE(LEFT(Output_Table[[#This Row],[Progress]],2)),"")</f>
        <v>20</v>
      </c>
    </row>
    <row r="15" spans="1:29" x14ac:dyDescent="0.25">
      <c r="A15" s="76" t="s">
        <v>113</v>
      </c>
      <c r="B15" s="41">
        <v>42940</v>
      </c>
      <c r="C15" s="33">
        <v>8</v>
      </c>
      <c r="D15" s="33" t="s">
        <v>5</v>
      </c>
      <c r="E15" s="33"/>
      <c r="F15" s="33"/>
      <c r="G15" s="33" t="s">
        <v>42</v>
      </c>
      <c r="H15" s="84">
        <f>_xlfn.IFNA(VLOOKUP(Output_Table[[#This Row],[Progress]],ProgressCalculation_List,6,FALSE),"")</f>
        <v>1.0000000000000002</v>
      </c>
      <c r="I15" s="85"/>
      <c r="J15" s="87">
        <v>42978</v>
      </c>
      <c r="K15" s="88">
        <v>8</v>
      </c>
      <c r="L15" s="90"/>
      <c r="M15" s="45">
        <v>42947.53125</v>
      </c>
      <c r="N15" s="33"/>
      <c r="O15" s="55">
        <f ca="1">IFERROR(INDIRECT(Output_Table[[#This Row],[Month plan begins]])-INDIRECT(Output_Table[[#This Row],[In stock Month begins]])-Output_Table[[#This Row],[Assembled]],0)</f>
        <v>-47</v>
      </c>
      <c r="P15" s="71">
        <f ca="1">IFERROR(SUBTOTAL(109,INDIRECT(Output_Table[[#This Row],[First cell]]):INDIRECT(Output_Table[[#This Row],[Last cell]])),0)</f>
        <v>47</v>
      </c>
      <c r="Q15" s="29"/>
      <c r="R15" s="29"/>
      <c r="S15" s="29" t="s">
        <v>97</v>
      </c>
      <c r="T15" s="61">
        <v>2017</v>
      </c>
      <c r="U15" s="57">
        <f>_xlfn.NUMBERVALUE(Output_Table[[#This Row],[Year]]&amp;TEXT(_xlfn.IFNA(VLOOKUP(Output_Table[[#This Row],[Output month]],OutupMonth_Table[],2,FALSE),""),"00"))</f>
        <v>201708</v>
      </c>
      <c r="V15" s="57">
        <f>_xlfn.NUMBERVALUE(YEAR(Output_Table[[#This Row],[Out by]])&amp; TEXT(MONTH(Output_Table[[#This Row],[Out by]]),"00"))</f>
        <v>201708</v>
      </c>
      <c r="W15" s="57" t="str">
        <f>ADDRESS(MATCH(Output_Table[[#This Row],[Year &amp; month output plan]],Output_Table[[#All],[Year &amp; month output plan]],0)+2,COLUMN(Output_Table[[#This Row],[Out qty]]),4,1)</f>
        <v>K11</v>
      </c>
      <c r="X15" s="57" t="str">
        <f>ADDRESS(MATCH(Output_Table[[#This Row],[Year &amp; month output plan]],Output_Table[[#All],[Year &amp; month output plan]],1)+2,COLUMN(Output_Table[[#This Row],[Out qty]]),4,1)</f>
        <v>K17</v>
      </c>
      <c r="Y15" s="57" t="str">
        <f>ADDRESS(MATCH(Output_Table[[#This Row],[Year &amp; month output plan]],Output_Table[[#All],[Year &amp; month output plan]],0)+2,COLUMN(Output_Table[[#This Row],[In stock (month begins)]]),4,1)</f>
        <v>Q11</v>
      </c>
      <c r="Z15" s="57" t="str">
        <f>ADDRESS(MATCH(Output_Table[[#This Row],[Year &amp; month output plan]],Output_Table[[#All],[Year &amp; month output plan]],0)+2,COLUMN(Output_Table[[#This Row],[Month plan]]),4,1)</f>
        <v>R11</v>
      </c>
      <c r="AA15" s="57">
        <f>IF(MATCH(Output_Table[[#This Row],[Year &amp; month output plan]],Output_Table[[#All],[Year &amp; month output plan]],0)+2=ROW(Output_Table[[#This Row],[Job]]),1,0)</f>
        <v>0</v>
      </c>
      <c r="AB15" s="57">
        <f>IF(MATCH(Output_Table[[#This Row],[Year &amp; month output plan]],Output_Table[[#All],[Year &amp; month output plan]],1)+2=ROW(Output_Table[[#This Row],[Job]]),1,0)</f>
        <v>0</v>
      </c>
      <c r="AC15" s="57">
        <f>IFERROR(VALUE(LEFT(Output_Table[[#This Row],[Progress]],2)),"")</f>
        <v>20</v>
      </c>
    </row>
    <row r="16" spans="1:29" ht="30" x14ac:dyDescent="0.25">
      <c r="A16" s="76" t="s">
        <v>114</v>
      </c>
      <c r="B16" s="41">
        <v>42941</v>
      </c>
      <c r="C16" s="33">
        <v>16</v>
      </c>
      <c r="D16" s="33" t="s">
        <v>5</v>
      </c>
      <c r="E16" s="33" t="s">
        <v>11</v>
      </c>
      <c r="F16" s="41">
        <v>42947</v>
      </c>
      <c r="G16" s="33" t="s">
        <v>42</v>
      </c>
      <c r="H16" s="84">
        <f>_xlfn.IFNA(VLOOKUP(Output_Table[[#This Row],[Progress]],ProgressCalculation_List,6,FALSE),"")</f>
        <v>1.0000000000000002</v>
      </c>
      <c r="I16" s="85"/>
      <c r="J16" s="87">
        <v>42972</v>
      </c>
      <c r="K16" s="88">
        <v>15</v>
      </c>
      <c r="L16" s="90" t="s">
        <v>200</v>
      </c>
      <c r="M16" s="45">
        <v>42954.541666666664</v>
      </c>
      <c r="N16" s="42" t="s">
        <v>202</v>
      </c>
      <c r="O16" s="55">
        <f ca="1">IFERROR(INDIRECT(Output_Table[[#This Row],[Month plan begins]])-INDIRECT(Output_Table[[#This Row],[In stock Month begins]])-Output_Table[[#This Row],[Assembled]],0)</f>
        <v>-47</v>
      </c>
      <c r="P16" s="71">
        <f ca="1">IFERROR(SUBTOTAL(109,INDIRECT(Output_Table[[#This Row],[First cell]]):INDIRECT(Output_Table[[#This Row],[Last cell]])),0)</f>
        <v>47</v>
      </c>
      <c r="Q16" s="29"/>
      <c r="R16" s="29"/>
      <c r="S16" s="29" t="s">
        <v>97</v>
      </c>
      <c r="T16" s="61">
        <v>2017</v>
      </c>
      <c r="U16" s="57">
        <f>_xlfn.NUMBERVALUE(Output_Table[[#This Row],[Year]]&amp;TEXT(_xlfn.IFNA(VLOOKUP(Output_Table[[#This Row],[Output month]],OutupMonth_Table[],2,FALSE),""),"00"))</f>
        <v>201708</v>
      </c>
      <c r="V16" s="57">
        <f>_xlfn.NUMBERVALUE(YEAR(Output_Table[[#This Row],[Out by]])&amp; TEXT(MONTH(Output_Table[[#This Row],[Out by]]),"00"))</f>
        <v>201708</v>
      </c>
      <c r="W16" s="57" t="str">
        <f>ADDRESS(MATCH(Output_Table[[#This Row],[Year &amp; month output plan]],Output_Table[[#All],[Year &amp; month output plan]],0)+2,COLUMN(Output_Table[[#This Row],[Out qty]]),4,1)</f>
        <v>K11</v>
      </c>
      <c r="X16" s="57" t="str">
        <f>ADDRESS(MATCH(Output_Table[[#This Row],[Year &amp; month output plan]],Output_Table[[#All],[Year &amp; month output plan]],1)+2,COLUMN(Output_Table[[#This Row],[Out qty]]),4,1)</f>
        <v>K17</v>
      </c>
      <c r="Y16" s="57" t="str">
        <f>ADDRESS(MATCH(Output_Table[[#This Row],[Year &amp; month output plan]],Output_Table[[#All],[Year &amp; month output plan]],0)+2,COLUMN(Output_Table[[#This Row],[In stock (month begins)]]),4,1)</f>
        <v>Q11</v>
      </c>
      <c r="Z16" s="57" t="str">
        <f>ADDRESS(MATCH(Output_Table[[#This Row],[Year &amp; month output plan]],Output_Table[[#All],[Year &amp; month output plan]],0)+2,COLUMN(Output_Table[[#This Row],[Month plan]]),4,1)</f>
        <v>R11</v>
      </c>
      <c r="AA16" s="57">
        <f>IF(MATCH(Output_Table[[#This Row],[Year &amp; month output plan]],Output_Table[[#All],[Year &amp; month output plan]],0)+2=ROW(Output_Table[[#This Row],[Job]]),1,0)</f>
        <v>0</v>
      </c>
      <c r="AB16" s="57">
        <f>IF(MATCH(Output_Table[[#This Row],[Year &amp; month output plan]],Output_Table[[#All],[Year &amp; month output plan]],1)+2=ROW(Output_Table[[#This Row],[Job]]),1,0)</f>
        <v>0</v>
      </c>
      <c r="AC16" s="57">
        <f>IFERROR(VALUE(LEFT(Output_Table[[#This Row],[Progress]],2)),"")</f>
        <v>20</v>
      </c>
    </row>
    <row r="17" spans="1:29" ht="45" x14ac:dyDescent="0.25">
      <c r="A17" s="76" t="s">
        <v>115</v>
      </c>
      <c r="B17" s="41">
        <v>42951</v>
      </c>
      <c r="C17" s="33">
        <v>8</v>
      </c>
      <c r="D17" s="33" t="s">
        <v>5</v>
      </c>
      <c r="E17" s="33" t="s">
        <v>30</v>
      </c>
      <c r="F17" s="41">
        <v>42958</v>
      </c>
      <c r="G17" s="33" t="s">
        <v>42</v>
      </c>
      <c r="H17" s="84">
        <f>_xlfn.IFNA(VLOOKUP(Output_Table[[#This Row],[Progress]],ProgressCalculation_List,6,FALSE),"")</f>
        <v>1.0000000000000002</v>
      </c>
      <c r="I17" s="85"/>
      <c r="J17" s="87">
        <v>42977</v>
      </c>
      <c r="K17" s="88">
        <v>8</v>
      </c>
      <c r="L17" s="90"/>
      <c r="M17" s="45">
        <v>42958.53125</v>
      </c>
      <c r="N17" s="42" t="s">
        <v>38</v>
      </c>
      <c r="O17" s="55">
        <f ca="1">IFERROR(INDIRECT(Output_Table[[#This Row],[Month plan begins]])-INDIRECT(Output_Table[[#This Row],[In stock Month begins]])-Output_Table[[#This Row],[Assembled]],0)</f>
        <v>-47</v>
      </c>
      <c r="P17" s="71">
        <f ca="1">IFERROR(SUBTOTAL(109,INDIRECT(Output_Table[[#This Row],[First cell]]):INDIRECT(Output_Table[[#This Row],[Last cell]])),0)</f>
        <v>47</v>
      </c>
      <c r="Q17" s="29"/>
      <c r="R17" s="29"/>
      <c r="S17" s="29" t="s">
        <v>97</v>
      </c>
      <c r="T17" s="61">
        <v>2017</v>
      </c>
      <c r="U17" s="57">
        <f>_xlfn.NUMBERVALUE(Output_Table[[#This Row],[Year]]&amp;TEXT(_xlfn.IFNA(VLOOKUP(Output_Table[[#This Row],[Output month]],OutupMonth_Table[],2,FALSE),""),"00"))</f>
        <v>201708</v>
      </c>
      <c r="V17" s="57">
        <f>_xlfn.NUMBERVALUE(YEAR(Output_Table[[#This Row],[Out by]])&amp; TEXT(MONTH(Output_Table[[#This Row],[Out by]]),"00"))</f>
        <v>201708</v>
      </c>
      <c r="W17" s="57" t="str">
        <f>ADDRESS(MATCH(Output_Table[[#This Row],[Year &amp; month output plan]],Output_Table[[#All],[Year &amp; month output plan]],0)+2,COLUMN(Output_Table[[#This Row],[Out qty]]),4,1)</f>
        <v>K11</v>
      </c>
      <c r="X17" s="57" t="str">
        <f>ADDRESS(MATCH(Output_Table[[#This Row],[Year &amp; month output plan]],Output_Table[[#All],[Year &amp; month output plan]],1)+2,COLUMN(Output_Table[[#This Row],[Out qty]]),4,1)</f>
        <v>K17</v>
      </c>
      <c r="Y17" s="57" t="str">
        <f>ADDRESS(MATCH(Output_Table[[#This Row],[Year &amp; month output plan]],Output_Table[[#All],[Year &amp; month output plan]],0)+2,COLUMN(Output_Table[[#This Row],[In stock (month begins)]]),4,1)</f>
        <v>Q11</v>
      </c>
      <c r="Z17" s="57" t="str">
        <f>ADDRESS(MATCH(Output_Table[[#This Row],[Year &amp; month output plan]],Output_Table[[#All],[Year &amp; month output plan]],0)+2,COLUMN(Output_Table[[#This Row],[Month plan]]),4,1)</f>
        <v>R11</v>
      </c>
      <c r="AA17" s="57">
        <f>IF(MATCH(Output_Table[[#This Row],[Year &amp; month output plan]],Output_Table[[#All],[Year &amp; month output plan]],0)+2=ROW(Output_Table[[#This Row],[Job]]),1,0)</f>
        <v>0</v>
      </c>
      <c r="AB17" s="57">
        <f>IF(MATCH(Output_Table[[#This Row],[Year &amp; month output plan]],Output_Table[[#All],[Year &amp; month output plan]],1)+2=ROW(Output_Table[[#This Row],[Job]]),1,0)</f>
        <v>1</v>
      </c>
      <c r="AC17" s="57">
        <f>IFERROR(VALUE(LEFT(Output_Table[[#This Row],[Progress]],2)),"")</f>
        <v>20</v>
      </c>
    </row>
    <row r="18" spans="1:29" ht="60" x14ac:dyDescent="0.25">
      <c r="A18" s="76" t="s">
        <v>116</v>
      </c>
      <c r="B18" s="41">
        <v>42954</v>
      </c>
      <c r="C18" s="33">
        <v>8</v>
      </c>
      <c r="D18" s="33" t="s">
        <v>5</v>
      </c>
      <c r="E18" s="33"/>
      <c r="F18" s="33"/>
      <c r="G18" s="33" t="s">
        <v>42</v>
      </c>
      <c r="H18" s="84">
        <f>_xlfn.IFNA(VLOOKUP(Output_Table[[#This Row],[Progress]],ProgressCalculation_List,6,FALSE),"")</f>
        <v>1.0000000000000002</v>
      </c>
      <c r="I18" s="85"/>
      <c r="J18" s="87">
        <v>42986</v>
      </c>
      <c r="K18" s="88">
        <v>8</v>
      </c>
      <c r="L18" s="90"/>
      <c r="M18" s="45">
        <v>42968.666666666664</v>
      </c>
      <c r="N18" s="42" t="s">
        <v>48</v>
      </c>
      <c r="O18" s="55">
        <f ca="1">IFERROR(INDIRECT(Output_Table[[#This Row],[Month plan begins]])-INDIRECT(Output_Table[[#This Row],[In stock Month begins]])-Output_Table[[#This Row],[Assembled]],0)</f>
        <v>-66</v>
      </c>
      <c r="P18" s="71">
        <f ca="1">IFERROR(SUBTOTAL(109,INDIRECT(Output_Table[[#This Row],[First cell]]):INDIRECT(Output_Table[[#This Row],[Last cell]])),0)</f>
        <v>66</v>
      </c>
      <c r="Q18" s="29">
        <v>0</v>
      </c>
      <c r="R18" s="29">
        <v>0</v>
      </c>
      <c r="S18" s="29" t="s">
        <v>98</v>
      </c>
      <c r="T18" s="61">
        <v>2017</v>
      </c>
      <c r="U18" s="57">
        <f>_xlfn.NUMBERVALUE(Output_Table[[#This Row],[Year]]&amp;TEXT(_xlfn.IFNA(VLOOKUP(Output_Table[[#This Row],[Output month]],OutupMonth_Table[],2,FALSE),""),"00"))</f>
        <v>201709</v>
      </c>
      <c r="V18" s="57">
        <f>_xlfn.NUMBERVALUE(YEAR(Output_Table[[#This Row],[Out by]])&amp; TEXT(MONTH(Output_Table[[#This Row],[Out by]]),"00"))</f>
        <v>201709</v>
      </c>
      <c r="W18" s="57" t="str">
        <f>ADDRESS(MATCH(Output_Table[[#This Row],[Year &amp; month output plan]],Output_Table[[#All],[Year &amp; month output plan]],0)+2,COLUMN(Output_Table[[#This Row],[Out qty]]),4,1)</f>
        <v>K18</v>
      </c>
      <c r="X18" s="57" t="str">
        <f>ADDRESS(MATCH(Output_Table[[#This Row],[Year &amp; month output plan]],Output_Table[[#All],[Year &amp; month output plan]],1)+2,COLUMN(Output_Table[[#This Row],[Out qty]]),4,1)</f>
        <v>K25</v>
      </c>
      <c r="Y18" s="57" t="str">
        <f>ADDRESS(MATCH(Output_Table[[#This Row],[Year &amp; month output plan]],Output_Table[[#All],[Year &amp; month output plan]],0)+2,COLUMN(Output_Table[[#This Row],[In stock (month begins)]]),4,1)</f>
        <v>Q18</v>
      </c>
      <c r="Z18" s="57" t="str">
        <f>ADDRESS(MATCH(Output_Table[[#This Row],[Year &amp; month output plan]],Output_Table[[#All],[Year &amp; month output plan]],0)+2,COLUMN(Output_Table[[#This Row],[Month plan]]),4,1)</f>
        <v>R18</v>
      </c>
      <c r="AA18" s="57">
        <f>IF(MATCH(Output_Table[[#This Row],[Year &amp; month output plan]],Output_Table[[#All],[Year &amp; month output plan]],0)+2=ROW(Output_Table[[#This Row],[Job]]),1,0)</f>
        <v>1</v>
      </c>
      <c r="AB18" s="57">
        <f>IF(MATCH(Output_Table[[#This Row],[Year &amp; month output plan]],Output_Table[[#All],[Year &amp; month output plan]],1)+2=ROW(Output_Table[[#This Row],[Job]]),1,0)</f>
        <v>0</v>
      </c>
      <c r="AC18" s="57">
        <f>IFERROR(VALUE(LEFT(Output_Table[[#This Row],[Progress]],2)),"")</f>
        <v>20</v>
      </c>
    </row>
    <row r="19" spans="1:29" ht="27" customHeight="1" x14ac:dyDescent="0.25">
      <c r="A19" s="76" t="s">
        <v>117</v>
      </c>
      <c r="B19" s="41">
        <v>42958</v>
      </c>
      <c r="C19" s="33">
        <v>8</v>
      </c>
      <c r="D19" s="33" t="s">
        <v>5</v>
      </c>
      <c r="E19" s="33" t="s">
        <v>35</v>
      </c>
      <c r="F19" s="41">
        <v>42968</v>
      </c>
      <c r="G19" s="33" t="s">
        <v>42</v>
      </c>
      <c r="H19" s="84">
        <f>_xlfn.IFNA(VLOOKUP(Output_Table[[#This Row],[Progress]],ProgressCalculation_List,6,FALSE),"")</f>
        <v>1.0000000000000002</v>
      </c>
      <c r="I19" s="85"/>
      <c r="J19" s="87">
        <v>42993</v>
      </c>
      <c r="K19" s="88">
        <v>8</v>
      </c>
      <c r="L19" s="90"/>
      <c r="M19" s="45">
        <v>42979.395833333336</v>
      </c>
      <c r="N19" s="42" t="s">
        <v>45</v>
      </c>
      <c r="O19" s="55">
        <f ca="1">IFERROR(INDIRECT(Output_Table[[#This Row],[Month plan begins]])-INDIRECT(Output_Table[[#This Row],[In stock Month begins]])-Output_Table[[#This Row],[Assembled]],0)</f>
        <v>-66</v>
      </c>
      <c r="P19" s="71">
        <f ca="1">IFERROR(SUBTOTAL(109,INDIRECT(Output_Table[[#This Row],[First cell]]):INDIRECT(Output_Table[[#This Row],[Last cell]])),0)</f>
        <v>66</v>
      </c>
      <c r="Q19" s="29"/>
      <c r="R19" s="29"/>
      <c r="S19" s="29" t="s">
        <v>98</v>
      </c>
      <c r="T19" s="61">
        <v>2017</v>
      </c>
      <c r="U19" s="57">
        <f>_xlfn.NUMBERVALUE(Output_Table[[#This Row],[Year]]&amp;TEXT(_xlfn.IFNA(VLOOKUP(Output_Table[[#This Row],[Output month]],OutupMonth_Table[],2,FALSE),""),"00"))</f>
        <v>201709</v>
      </c>
      <c r="V19" s="57">
        <f>_xlfn.NUMBERVALUE(YEAR(Output_Table[[#This Row],[Out by]])&amp; TEXT(MONTH(Output_Table[[#This Row],[Out by]]),"00"))</f>
        <v>201709</v>
      </c>
      <c r="W19" s="57" t="str">
        <f>ADDRESS(MATCH(Output_Table[[#This Row],[Year &amp; month output plan]],Output_Table[[#All],[Year &amp; month output plan]],0)+2,COLUMN(Output_Table[[#This Row],[Out qty]]),4,1)</f>
        <v>K18</v>
      </c>
      <c r="X19" s="57" t="str">
        <f>ADDRESS(MATCH(Output_Table[[#This Row],[Year &amp; month output plan]],Output_Table[[#All],[Year &amp; month output plan]],1)+2,COLUMN(Output_Table[[#This Row],[Out qty]]),4,1)</f>
        <v>K25</v>
      </c>
      <c r="Y19" s="57" t="str">
        <f>ADDRESS(MATCH(Output_Table[[#This Row],[Year &amp; month output plan]],Output_Table[[#All],[Year &amp; month output plan]],0)+2,COLUMN(Output_Table[[#This Row],[In stock (month begins)]]),4,1)</f>
        <v>Q18</v>
      </c>
      <c r="Z19" s="57" t="str">
        <f>ADDRESS(MATCH(Output_Table[[#This Row],[Year &amp; month output plan]],Output_Table[[#All],[Year &amp; month output plan]],0)+2,COLUMN(Output_Table[[#This Row],[Month plan]]),4,1)</f>
        <v>R18</v>
      </c>
      <c r="AA19" s="57">
        <f>IF(MATCH(Output_Table[[#This Row],[Year &amp; month output plan]],Output_Table[[#All],[Year &amp; month output plan]],0)+2=ROW(Output_Table[[#This Row],[Job]]),1,0)</f>
        <v>0</v>
      </c>
      <c r="AB19" s="57">
        <f>IF(MATCH(Output_Table[[#This Row],[Year &amp; month output plan]],Output_Table[[#All],[Year &amp; month output plan]],1)+2=ROW(Output_Table[[#This Row],[Job]]),1,0)</f>
        <v>0</v>
      </c>
      <c r="AC19" s="57">
        <f>IFERROR(VALUE(LEFT(Output_Table[[#This Row],[Progress]],2)),"")</f>
        <v>20</v>
      </c>
    </row>
    <row r="20" spans="1:29" ht="45" x14ac:dyDescent="0.25">
      <c r="A20" s="76" t="s">
        <v>118</v>
      </c>
      <c r="B20" s="59">
        <v>42968</v>
      </c>
      <c r="C20" s="29">
        <v>8</v>
      </c>
      <c r="D20" s="33" t="s">
        <v>5</v>
      </c>
      <c r="E20" s="33"/>
      <c r="F20" s="33"/>
      <c r="G20" s="33" t="s">
        <v>42</v>
      </c>
      <c r="H20" s="84">
        <f>_xlfn.IFNA(VLOOKUP(Output_Table[[#This Row],[Progress]],ProgressCalculation_List,6,FALSE),"")</f>
        <v>1.0000000000000002</v>
      </c>
      <c r="I20" s="85"/>
      <c r="J20" s="87">
        <v>42993</v>
      </c>
      <c r="K20" s="88">
        <v>8</v>
      </c>
      <c r="L20" s="90"/>
      <c r="M20" s="45">
        <v>42978.4375</v>
      </c>
      <c r="N20" s="42" t="s">
        <v>46</v>
      </c>
      <c r="O20" s="55">
        <f ca="1">IFERROR(INDIRECT(Output_Table[[#This Row],[Month plan begins]])-INDIRECT(Output_Table[[#This Row],[In stock Month begins]])-Output_Table[[#This Row],[Assembled]],0)</f>
        <v>-66</v>
      </c>
      <c r="P20" s="71">
        <f ca="1">IFERROR(SUBTOTAL(109,INDIRECT(Output_Table[[#This Row],[First cell]]):INDIRECT(Output_Table[[#This Row],[Last cell]])),0)</f>
        <v>66</v>
      </c>
      <c r="Q20" s="29"/>
      <c r="R20" s="29"/>
      <c r="S20" s="29" t="s">
        <v>98</v>
      </c>
      <c r="T20" s="61">
        <v>2017</v>
      </c>
      <c r="U20" s="57">
        <f>_xlfn.NUMBERVALUE(Output_Table[[#This Row],[Year]]&amp;TEXT(_xlfn.IFNA(VLOOKUP(Output_Table[[#This Row],[Output month]],OutupMonth_Table[],2,FALSE),""),"00"))</f>
        <v>201709</v>
      </c>
      <c r="V20" s="57">
        <f>_xlfn.NUMBERVALUE(YEAR(Output_Table[[#This Row],[Out by]])&amp; TEXT(MONTH(Output_Table[[#This Row],[Out by]]),"00"))</f>
        <v>201709</v>
      </c>
      <c r="W20" s="57" t="str">
        <f>ADDRESS(MATCH(Output_Table[[#This Row],[Year &amp; month output plan]],Output_Table[[#All],[Year &amp; month output plan]],0)+2,COLUMN(Output_Table[[#This Row],[Out qty]]),4,1)</f>
        <v>K18</v>
      </c>
      <c r="X20" s="57" t="str">
        <f>ADDRESS(MATCH(Output_Table[[#This Row],[Year &amp; month output plan]],Output_Table[[#All],[Year &amp; month output plan]],1)+2,COLUMN(Output_Table[[#This Row],[Out qty]]),4,1)</f>
        <v>K25</v>
      </c>
      <c r="Y20" s="57" t="str">
        <f>ADDRESS(MATCH(Output_Table[[#This Row],[Year &amp; month output plan]],Output_Table[[#All],[Year &amp; month output plan]],0)+2,COLUMN(Output_Table[[#This Row],[In stock (month begins)]]),4,1)</f>
        <v>Q18</v>
      </c>
      <c r="Z20" s="57" t="str">
        <f>ADDRESS(MATCH(Output_Table[[#This Row],[Year &amp; month output plan]],Output_Table[[#All],[Year &amp; month output plan]],0)+2,COLUMN(Output_Table[[#This Row],[Month plan]]),4,1)</f>
        <v>R18</v>
      </c>
      <c r="AA20" s="57">
        <f>IF(MATCH(Output_Table[[#This Row],[Year &amp; month output plan]],Output_Table[[#All],[Year &amp; month output plan]],0)+2=ROW(Output_Table[[#This Row],[Job]]),1,0)</f>
        <v>0</v>
      </c>
      <c r="AB20" s="57">
        <f>IF(MATCH(Output_Table[[#This Row],[Year &amp; month output plan]],Output_Table[[#All],[Year &amp; month output plan]],1)+2=ROW(Output_Table[[#This Row],[Job]]),1,0)</f>
        <v>0</v>
      </c>
      <c r="AC20" s="57">
        <f>IFERROR(VALUE(LEFT(Output_Table[[#This Row],[Progress]],2)),"")</f>
        <v>20</v>
      </c>
    </row>
    <row r="21" spans="1:29" ht="60" x14ac:dyDescent="0.25">
      <c r="A21" s="76" t="s">
        <v>119</v>
      </c>
      <c r="B21" s="41">
        <v>42968</v>
      </c>
      <c r="C21" s="33">
        <v>8</v>
      </c>
      <c r="D21" s="33" t="s">
        <v>5</v>
      </c>
      <c r="E21" s="33" t="s">
        <v>11</v>
      </c>
      <c r="F21" s="41">
        <v>42968</v>
      </c>
      <c r="G21" s="33" t="s">
        <v>42</v>
      </c>
      <c r="H21" s="84">
        <f>_xlfn.IFNA(VLOOKUP(Output_Table[[#This Row],[Progress]],ProgressCalculation_List,6,FALSE),"")</f>
        <v>1.0000000000000002</v>
      </c>
      <c r="I21" s="85"/>
      <c r="J21" s="87">
        <v>43000</v>
      </c>
      <c r="K21" s="88">
        <v>8</v>
      </c>
      <c r="L21" s="90"/>
      <c r="M21" s="45">
        <v>42982.427083333336</v>
      </c>
      <c r="N21" s="42" t="s">
        <v>47</v>
      </c>
      <c r="O21" s="55">
        <f ca="1">IFERROR(INDIRECT(Output_Table[[#This Row],[Month plan begins]])-INDIRECT(Output_Table[[#This Row],[In stock Month begins]])-Output_Table[[#This Row],[Assembled]],0)</f>
        <v>-66</v>
      </c>
      <c r="P21" s="71">
        <f ca="1">IFERROR(SUBTOTAL(109,INDIRECT(Output_Table[[#This Row],[First cell]]):INDIRECT(Output_Table[[#This Row],[Last cell]])),0)</f>
        <v>66</v>
      </c>
      <c r="Q21" s="29"/>
      <c r="R21" s="29"/>
      <c r="S21" s="29" t="s">
        <v>98</v>
      </c>
      <c r="T21" s="61">
        <v>2017</v>
      </c>
      <c r="U21" s="57">
        <f>_xlfn.NUMBERVALUE(Output_Table[[#This Row],[Year]]&amp;TEXT(_xlfn.IFNA(VLOOKUP(Output_Table[[#This Row],[Output month]],OutupMonth_Table[],2,FALSE),""),"00"))</f>
        <v>201709</v>
      </c>
      <c r="V21" s="57">
        <f>_xlfn.NUMBERVALUE(YEAR(Output_Table[[#This Row],[Out by]])&amp; TEXT(MONTH(Output_Table[[#This Row],[Out by]]),"00"))</f>
        <v>201709</v>
      </c>
      <c r="W21" s="57" t="str">
        <f>ADDRESS(MATCH(Output_Table[[#This Row],[Year &amp; month output plan]],Output_Table[[#All],[Year &amp; month output plan]],0)+2,COLUMN(Output_Table[[#This Row],[Out qty]]),4,1)</f>
        <v>K18</v>
      </c>
      <c r="X21" s="57" t="str">
        <f>ADDRESS(MATCH(Output_Table[[#This Row],[Year &amp; month output plan]],Output_Table[[#All],[Year &amp; month output plan]],1)+2,COLUMN(Output_Table[[#This Row],[Out qty]]),4,1)</f>
        <v>K25</v>
      </c>
      <c r="Y21" s="57" t="str">
        <f>ADDRESS(MATCH(Output_Table[[#This Row],[Year &amp; month output plan]],Output_Table[[#All],[Year &amp; month output plan]],0)+2,COLUMN(Output_Table[[#This Row],[In stock (month begins)]]),4,1)</f>
        <v>Q18</v>
      </c>
      <c r="Z21" s="57" t="str">
        <f>ADDRESS(MATCH(Output_Table[[#This Row],[Year &amp; month output plan]],Output_Table[[#All],[Year &amp; month output plan]],0)+2,COLUMN(Output_Table[[#This Row],[Month plan]]),4,1)</f>
        <v>R18</v>
      </c>
      <c r="AA21" s="57">
        <f>IF(MATCH(Output_Table[[#This Row],[Year &amp; month output plan]],Output_Table[[#All],[Year &amp; month output plan]],0)+2=ROW(Output_Table[[#This Row],[Job]]),1,0)</f>
        <v>0</v>
      </c>
      <c r="AB21" s="57">
        <f>IF(MATCH(Output_Table[[#This Row],[Year &amp; month output plan]],Output_Table[[#All],[Year &amp; month output plan]],1)+2=ROW(Output_Table[[#This Row],[Job]]),1,0)</f>
        <v>0</v>
      </c>
      <c r="AC21" s="57">
        <f>IFERROR(VALUE(LEFT(Output_Table[[#This Row],[Progress]],2)),"")</f>
        <v>20</v>
      </c>
    </row>
    <row r="22" spans="1:29" ht="75" x14ac:dyDescent="0.25">
      <c r="A22" s="76" t="s">
        <v>120</v>
      </c>
      <c r="B22" s="41">
        <v>42968</v>
      </c>
      <c r="C22" s="33">
        <v>8</v>
      </c>
      <c r="D22" s="33" t="s">
        <v>5</v>
      </c>
      <c r="E22" s="33" t="s">
        <v>64</v>
      </c>
      <c r="F22" s="47" t="s">
        <v>65</v>
      </c>
      <c r="G22" s="33" t="s">
        <v>42</v>
      </c>
      <c r="H22" s="84">
        <f>_xlfn.IFNA(VLOOKUP(Output_Table[[#This Row],[Progress]],ProgressCalculation_List,6,FALSE),"")</f>
        <v>1.0000000000000002</v>
      </c>
      <c r="I22" s="85"/>
      <c r="J22" s="87">
        <v>43000</v>
      </c>
      <c r="K22" s="88">
        <v>8</v>
      </c>
      <c r="L22" s="90"/>
      <c r="M22" s="45">
        <v>42983.625</v>
      </c>
      <c r="N22" s="42" t="s">
        <v>66</v>
      </c>
      <c r="O22" s="55">
        <f ca="1">IFERROR(INDIRECT(Output_Table[[#This Row],[Month plan begins]])-INDIRECT(Output_Table[[#This Row],[In stock Month begins]])-Output_Table[[#This Row],[Assembled]],0)</f>
        <v>-66</v>
      </c>
      <c r="P22" s="71">
        <f ca="1">IFERROR(SUBTOTAL(109,INDIRECT(Output_Table[[#This Row],[First cell]]):INDIRECT(Output_Table[[#This Row],[Last cell]])),0)</f>
        <v>66</v>
      </c>
      <c r="Q22" s="29"/>
      <c r="R22" s="29"/>
      <c r="S22" s="29" t="s">
        <v>98</v>
      </c>
      <c r="T22" s="61">
        <v>2017</v>
      </c>
      <c r="U22" s="57">
        <f>_xlfn.NUMBERVALUE(Output_Table[[#This Row],[Year]]&amp;TEXT(_xlfn.IFNA(VLOOKUP(Output_Table[[#This Row],[Output month]],OutupMonth_Table[],2,FALSE),""),"00"))</f>
        <v>201709</v>
      </c>
      <c r="V22" s="57">
        <f>_xlfn.NUMBERVALUE(YEAR(Output_Table[[#This Row],[Out by]])&amp; TEXT(MONTH(Output_Table[[#This Row],[Out by]]),"00"))</f>
        <v>201709</v>
      </c>
      <c r="W22" s="57" t="str">
        <f>ADDRESS(MATCH(Output_Table[[#This Row],[Year &amp; month output plan]],Output_Table[[#All],[Year &amp; month output plan]],0)+2,COLUMN(Output_Table[[#This Row],[Out qty]]),4,1)</f>
        <v>K18</v>
      </c>
      <c r="X22" s="57" t="str">
        <f>ADDRESS(MATCH(Output_Table[[#This Row],[Year &amp; month output plan]],Output_Table[[#All],[Year &amp; month output plan]],1)+2,COLUMN(Output_Table[[#This Row],[Out qty]]),4,1)</f>
        <v>K25</v>
      </c>
      <c r="Y22" s="57" t="str">
        <f>ADDRESS(MATCH(Output_Table[[#This Row],[Year &amp; month output plan]],Output_Table[[#All],[Year &amp; month output plan]],0)+2,COLUMN(Output_Table[[#This Row],[In stock (month begins)]]),4,1)</f>
        <v>Q18</v>
      </c>
      <c r="Z22" s="57" t="str">
        <f>ADDRESS(MATCH(Output_Table[[#This Row],[Year &amp; month output plan]],Output_Table[[#All],[Year &amp; month output plan]],0)+2,COLUMN(Output_Table[[#This Row],[Month plan]]),4,1)</f>
        <v>R18</v>
      </c>
      <c r="AA22" s="57">
        <f>IF(MATCH(Output_Table[[#This Row],[Year &amp; month output plan]],Output_Table[[#All],[Year &amp; month output plan]],0)+2=ROW(Output_Table[[#This Row],[Job]]),1,0)</f>
        <v>0</v>
      </c>
      <c r="AB22" s="57">
        <f>IF(MATCH(Output_Table[[#This Row],[Year &amp; month output plan]],Output_Table[[#All],[Year &amp; month output plan]],1)+2=ROW(Output_Table[[#This Row],[Job]]),1,0)</f>
        <v>0</v>
      </c>
      <c r="AC22" s="57">
        <f>IFERROR(VALUE(LEFT(Output_Table[[#This Row],[Progress]],2)),"")</f>
        <v>20</v>
      </c>
    </row>
    <row r="23" spans="1:29" ht="30" x14ac:dyDescent="0.25">
      <c r="A23" s="76" t="s">
        <v>121</v>
      </c>
      <c r="B23" s="41">
        <v>42969</v>
      </c>
      <c r="C23" s="33">
        <v>8</v>
      </c>
      <c r="D23" s="33" t="s">
        <v>5</v>
      </c>
      <c r="E23" s="33" t="s">
        <v>62</v>
      </c>
      <c r="F23" s="47" t="s">
        <v>63</v>
      </c>
      <c r="G23" s="33" t="s">
        <v>42</v>
      </c>
      <c r="H23" s="84">
        <f>_xlfn.IFNA(VLOOKUP(Output_Table[[#This Row],[Progress]],ProgressCalculation_List,6,FALSE),"")</f>
        <v>1.0000000000000002</v>
      </c>
      <c r="I23" s="85"/>
      <c r="J23" s="87">
        <v>43000</v>
      </c>
      <c r="K23" s="88">
        <v>8</v>
      </c>
      <c r="L23" s="90"/>
      <c r="M23" s="45">
        <v>42986.423611111109</v>
      </c>
      <c r="N23" s="48" t="s">
        <v>67</v>
      </c>
      <c r="O23" s="55">
        <f ca="1">IFERROR(INDIRECT(Output_Table[[#This Row],[Month plan begins]])-INDIRECT(Output_Table[[#This Row],[In stock Month begins]])-Output_Table[[#This Row],[Assembled]],0)</f>
        <v>-66</v>
      </c>
      <c r="P23" s="71">
        <f ca="1">IFERROR(SUBTOTAL(109,INDIRECT(Output_Table[[#This Row],[First cell]]):INDIRECT(Output_Table[[#This Row],[Last cell]])),0)</f>
        <v>66</v>
      </c>
      <c r="Q23" s="29"/>
      <c r="R23" s="29"/>
      <c r="S23" s="29" t="s">
        <v>98</v>
      </c>
      <c r="T23" s="61">
        <v>2017</v>
      </c>
      <c r="U23" s="57">
        <f>_xlfn.NUMBERVALUE(Output_Table[[#This Row],[Year]]&amp;TEXT(_xlfn.IFNA(VLOOKUP(Output_Table[[#This Row],[Output month]],OutupMonth_Table[],2,FALSE),""),"00"))</f>
        <v>201709</v>
      </c>
      <c r="V23" s="57">
        <f>_xlfn.NUMBERVALUE(YEAR(Output_Table[[#This Row],[Out by]])&amp; TEXT(MONTH(Output_Table[[#This Row],[Out by]]),"00"))</f>
        <v>201709</v>
      </c>
      <c r="W23" s="57" t="str">
        <f>ADDRESS(MATCH(Output_Table[[#This Row],[Year &amp; month output plan]],Output_Table[[#All],[Year &amp; month output plan]],0)+2,COLUMN(Output_Table[[#This Row],[Out qty]]),4,1)</f>
        <v>K18</v>
      </c>
      <c r="X23" s="57" t="str">
        <f>ADDRESS(MATCH(Output_Table[[#This Row],[Year &amp; month output plan]],Output_Table[[#All],[Year &amp; month output plan]],1)+2,COLUMN(Output_Table[[#This Row],[Out qty]]),4,1)</f>
        <v>K25</v>
      </c>
      <c r="Y23" s="57" t="str">
        <f>ADDRESS(MATCH(Output_Table[[#This Row],[Year &amp; month output plan]],Output_Table[[#All],[Year &amp; month output plan]],0)+2,COLUMN(Output_Table[[#This Row],[In stock (month begins)]]),4,1)</f>
        <v>Q18</v>
      </c>
      <c r="Z23" s="57" t="str">
        <f>ADDRESS(MATCH(Output_Table[[#This Row],[Year &amp; month output plan]],Output_Table[[#All],[Year &amp; month output plan]],0)+2,COLUMN(Output_Table[[#This Row],[Month plan]]),4,1)</f>
        <v>R18</v>
      </c>
      <c r="AA23" s="57">
        <f>IF(MATCH(Output_Table[[#This Row],[Year &amp; month output plan]],Output_Table[[#All],[Year &amp; month output plan]],0)+2=ROW(Output_Table[[#This Row],[Job]]),1,0)</f>
        <v>0</v>
      </c>
      <c r="AB23" s="57">
        <f>IF(MATCH(Output_Table[[#This Row],[Year &amp; month output plan]],Output_Table[[#All],[Year &amp; month output plan]],1)+2=ROW(Output_Table[[#This Row],[Job]]),1,0)</f>
        <v>0</v>
      </c>
      <c r="AC23" s="57">
        <f>IFERROR(VALUE(LEFT(Output_Table[[#This Row],[Progress]],2)),"")</f>
        <v>20</v>
      </c>
    </row>
    <row r="24" spans="1:29" ht="75" x14ac:dyDescent="0.25">
      <c r="A24" s="76" t="s">
        <v>122</v>
      </c>
      <c r="B24" s="41">
        <v>42969</v>
      </c>
      <c r="C24" s="33">
        <v>8</v>
      </c>
      <c r="D24" s="33" t="s">
        <v>5</v>
      </c>
      <c r="E24" s="42" t="s">
        <v>69</v>
      </c>
      <c r="F24" s="42" t="s">
        <v>68</v>
      </c>
      <c r="G24" s="33" t="s">
        <v>42</v>
      </c>
      <c r="H24" s="84">
        <f>_xlfn.IFNA(VLOOKUP(Output_Table[[#This Row],[Progress]],ProgressCalculation_List,6,FALSE),"")</f>
        <v>1.0000000000000002</v>
      </c>
      <c r="I24" s="85"/>
      <c r="J24" s="87">
        <v>43007</v>
      </c>
      <c r="K24" s="88">
        <v>8</v>
      </c>
      <c r="L24" s="90"/>
      <c r="M24" s="45">
        <v>42996.40625</v>
      </c>
      <c r="N24" s="48" t="s">
        <v>72</v>
      </c>
      <c r="O24" s="55">
        <f ca="1">IFERROR(INDIRECT(Output_Table[[#This Row],[Month plan begins]])-INDIRECT(Output_Table[[#This Row],[In stock Month begins]])-Output_Table[[#This Row],[Assembled]],0)</f>
        <v>-66</v>
      </c>
      <c r="P24" s="71">
        <f ca="1">IFERROR(SUBTOTAL(109,INDIRECT(Output_Table[[#This Row],[First cell]]):INDIRECT(Output_Table[[#This Row],[Last cell]])),0)</f>
        <v>66</v>
      </c>
      <c r="Q24" s="29"/>
      <c r="R24" s="29"/>
      <c r="S24" s="29" t="s">
        <v>98</v>
      </c>
      <c r="T24" s="61">
        <v>2017</v>
      </c>
      <c r="U24" s="57">
        <f>_xlfn.NUMBERVALUE(Output_Table[[#This Row],[Year]]&amp;TEXT(_xlfn.IFNA(VLOOKUP(Output_Table[[#This Row],[Output month]],OutupMonth_Table[],2,FALSE),""),"00"))</f>
        <v>201709</v>
      </c>
      <c r="V24" s="57">
        <f>_xlfn.NUMBERVALUE(YEAR(Output_Table[[#This Row],[Out by]])&amp; TEXT(MONTH(Output_Table[[#This Row],[Out by]]),"00"))</f>
        <v>201709</v>
      </c>
      <c r="W24" s="57" t="str">
        <f>ADDRESS(MATCH(Output_Table[[#This Row],[Year &amp; month output plan]],Output_Table[[#All],[Year &amp; month output plan]],0)+2,COLUMN(Output_Table[[#This Row],[Out qty]]),4,1)</f>
        <v>K18</v>
      </c>
      <c r="X24" s="57" t="str">
        <f>ADDRESS(MATCH(Output_Table[[#This Row],[Year &amp; month output plan]],Output_Table[[#All],[Year &amp; month output plan]],1)+2,COLUMN(Output_Table[[#This Row],[Out qty]]),4,1)</f>
        <v>K25</v>
      </c>
      <c r="Y24" s="57" t="str">
        <f>ADDRESS(MATCH(Output_Table[[#This Row],[Year &amp; month output plan]],Output_Table[[#All],[Year &amp; month output plan]],0)+2,COLUMN(Output_Table[[#This Row],[In stock (month begins)]]),4,1)</f>
        <v>Q18</v>
      </c>
      <c r="Z24" s="57" t="str">
        <f>ADDRESS(MATCH(Output_Table[[#This Row],[Year &amp; month output plan]],Output_Table[[#All],[Year &amp; month output plan]],0)+2,COLUMN(Output_Table[[#This Row],[Month plan]]),4,1)</f>
        <v>R18</v>
      </c>
      <c r="AA24" s="57">
        <f>IF(MATCH(Output_Table[[#This Row],[Year &amp; month output plan]],Output_Table[[#All],[Year &amp; month output plan]],0)+2=ROW(Output_Table[[#This Row],[Job]]),1,0)</f>
        <v>0</v>
      </c>
      <c r="AB24" s="57">
        <f>IF(MATCH(Output_Table[[#This Row],[Year &amp; month output plan]],Output_Table[[#All],[Year &amp; month output plan]],1)+2=ROW(Output_Table[[#This Row],[Job]]),1,0)</f>
        <v>0</v>
      </c>
      <c r="AC24" s="57">
        <f>IFERROR(VALUE(LEFT(Output_Table[[#This Row],[Progress]],2)),"")</f>
        <v>20</v>
      </c>
    </row>
    <row r="25" spans="1:29" ht="60" x14ac:dyDescent="0.25">
      <c r="A25" s="79" t="s">
        <v>123</v>
      </c>
      <c r="B25" s="67">
        <v>42978</v>
      </c>
      <c r="C25" s="49">
        <v>10</v>
      </c>
      <c r="D25" s="33" t="s">
        <v>5</v>
      </c>
      <c r="E25" s="33"/>
      <c r="F25" s="33"/>
      <c r="G25" s="33" t="s">
        <v>42</v>
      </c>
      <c r="H25" s="84">
        <f>_xlfn.IFNA(VLOOKUP(Output_Table[[#This Row],[Progress]],ProgressCalculation_List,6,FALSE),"")</f>
        <v>1.0000000000000002</v>
      </c>
      <c r="I25" s="85"/>
      <c r="J25" s="87">
        <v>43007</v>
      </c>
      <c r="K25" s="88">
        <v>10</v>
      </c>
      <c r="L25" s="90"/>
      <c r="M25" s="45">
        <v>42992.715277777781</v>
      </c>
      <c r="N25" s="48" t="s">
        <v>73</v>
      </c>
      <c r="O25" s="55">
        <f ca="1">IFERROR(INDIRECT(Output_Table[[#This Row],[Month plan begins]])-INDIRECT(Output_Table[[#This Row],[In stock Month begins]])-Output_Table[[#This Row],[Assembled]],0)</f>
        <v>-66</v>
      </c>
      <c r="P25" s="71">
        <f ca="1">IFERROR(SUBTOTAL(109,INDIRECT(Output_Table[[#This Row],[First cell]]):INDIRECT(Output_Table[[#This Row],[Last cell]])),0)</f>
        <v>66</v>
      </c>
      <c r="Q25" s="29"/>
      <c r="R25" s="29"/>
      <c r="S25" s="29" t="s">
        <v>98</v>
      </c>
      <c r="T25" s="61">
        <v>2017</v>
      </c>
      <c r="U25" s="57">
        <f>_xlfn.NUMBERVALUE(Output_Table[[#This Row],[Year]]&amp;TEXT(_xlfn.IFNA(VLOOKUP(Output_Table[[#This Row],[Output month]],OutupMonth_Table[],2,FALSE),""),"00"))</f>
        <v>201709</v>
      </c>
      <c r="V25" s="57">
        <f>_xlfn.NUMBERVALUE(YEAR(Output_Table[[#This Row],[Out by]])&amp; TEXT(MONTH(Output_Table[[#This Row],[Out by]]),"00"))</f>
        <v>201709</v>
      </c>
      <c r="W25" s="57" t="str">
        <f>ADDRESS(MATCH(Output_Table[[#This Row],[Year &amp; month output plan]],Output_Table[[#All],[Year &amp; month output plan]],0)+2,COLUMN(Output_Table[[#This Row],[Out qty]]),4,1)</f>
        <v>K18</v>
      </c>
      <c r="X25" s="57" t="str">
        <f>ADDRESS(MATCH(Output_Table[[#This Row],[Year &amp; month output plan]],Output_Table[[#All],[Year &amp; month output plan]],1)+2,COLUMN(Output_Table[[#This Row],[Out qty]]),4,1)</f>
        <v>K25</v>
      </c>
      <c r="Y25" s="57" t="str">
        <f>ADDRESS(MATCH(Output_Table[[#This Row],[Year &amp; month output plan]],Output_Table[[#All],[Year &amp; month output plan]],0)+2,COLUMN(Output_Table[[#This Row],[In stock (month begins)]]),4,1)</f>
        <v>Q18</v>
      </c>
      <c r="Z25" s="57" t="str">
        <f>ADDRESS(MATCH(Output_Table[[#This Row],[Year &amp; month output plan]],Output_Table[[#All],[Year &amp; month output plan]],0)+2,COLUMN(Output_Table[[#This Row],[Month plan]]),4,1)</f>
        <v>R18</v>
      </c>
      <c r="AA25" s="57">
        <f>IF(MATCH(Output_Table[[#This Row],[Year &amp; month output plan]],Output_Table[[#All],[Year &amp; month output plan]],0)+2=ROW(Output_Table[[#This Row],[Job]]),1,0)</f>
        <v>0</v>
      </c>
      <c r="AB25" s="57">
        <f>IF(MATCH(Output_Table[[#This Row],[Year &amp; month output plan]],Output_Table[[#All],[Year &amp; month output plan]],1)+2=ROW(Output_Table[[#This Row],[Job]]),1,0)</f>
        <v>1</v>
      </c>
      <c r="AC25" s="57">
        <f>IFERROR(VALUE(LEFT(Output_Table[[#This Row],[Progress]],2)),"")</f>
        <v>20</v>
      </c>
    </row>
    <row r="26" spans="1:29" ht="122.25" customHeight="1" x14ac:dyDescent="0.25">
      <c r="A26" s="76" t="s">
        <v>124</v>
      </c>
      <c r="B26" s="41">
        <v>42982</v>
      </c>
      <c r="C26" s="33">
        <v>8</v>
      </c>
      <c r="D26" s="33" t="s">
        <v>5</v>
      </c>
      <c r="E26" s="33" t="s">
        <v>44</v>
      </c>
      <c r="F26" s="41">
        <v>42992</v>
      </c>
      <c r="G26" s="33" t="s">
        <v>42</v>
      </c>
      <c r="H26" s="84">
        <f>_xlfn.IFNA(VLOOKUP(Output_Table[[#This Row],[Progress]],ProgressCalculation_List,6,FALSE),"")</f>
        <v>1.0000000000000002</v>
      </c>
      <c r="I26" s="85"/>
      <c r="J26" s="87">
        <v>43021</v>
      </c>
      <c r="K26" s="88">
        <v>8</v>
      </c>
      <c r="L26" s="90"/>
      <c r="M26" s="45">
        <v>43000.416666666664</v>
      </c>
      <c r="N26" s="50" t="s">
        <v>84</v>
      </c>
      <c r="O26" s="55">
        <f ca="1">IFERROR(INDIRECT(Output_Table[[#This Row],[Month plan begins]])-INDIRECT(Output_Table[[#This Row],[In stock Month begins]])-Output_Table[[#This Row],[Assembled]],0)</f>
        <v>-64</v>
      </c>
      <c r="P26" s="71">
        <f ca="1">IFERROR(SUBTOTAL(109,INDIRECT(Output_Table[[#This Row],[First cell]]):INDIRECT(Output_Table[[#This Row],[Last cell]])),0)</f>
        <v>64</v>
      </c>
      <c r="Q26" s="29">
        <v>0</v>
      </c>
      <c r="R26" s="29">
        <v>0</v>
      </c>
      <c r="S26" s="29" t="s">
        <v>76</v>
      </c>
      <c r="T26" s="61">
        <v>2017</v>
      </c>
      <c r="U26" s="57">
        <f>_xlfn.NUMBERVALUE(Output_Table[[#This Row],[Year]]&amp;TEXT(_xlfn.IFNA(VLOOKUP(Output_Table[[#This Row],[Output month]],OutupMonth_Table[],2,FALSE),""),"00"))</f>
        <v>201710</v>
      </c>
      <c r="V26" s="57">
        <f>_xlfn.NUMBERVALUE(YEAR(Output_Table[[#This Row],[Out by]])&amp; TEXT(MONTH(Output_Table[[#This Row],[Out by]]),"00"))</f>
        <v>201710</v>
      </c>
      <c r="W26" s="57" t="str">
        <f>ADDRESS(MATCH(Output_Table[[#This Row],[Year &amp; month output plan]],Output_Table[[#All],[Year &amp; month output plan]],0)+2,COLUMN(Output_Table[[#This Row],[Out qty]]),4,1)</f>
        <v>K26</v>
      </c>
      <c r="X26" s="57" t="str">
        <f>ADDRESS(MATCH(Output_Table[[#This Row],[Year &amp; month output plan]],Output_Table[[#All],[Year &amp; month output plan]],1)+2,COLUMN(Output_Table[[#This Row],[Out qty]]),4,1)</f>
        <v>K33</v>
      </c>
      <c r="Y26" s="57" t="str">
        <f>ADDRESS(MATCH(Output_Table[[#This Row],[Year &amp; month output plan]],Output_Table[[#All],[Year &amp; month output plan]],0)+2,COLUMN(Output_Table[[#This Row],[In stock (month begins)]]),4,1)</f>
        <v>Q26</v>
      </c>
      <c r="Z26" s="57" t="str">
        <f>ADDRESS(MATCH(Output_Table[[#This Row],[Year &amp; month output plan]],Output_Table[[#All],[Year &amp; month output plan]],0)+2,COLUMN(Output_Table[[#This Row],[Month plan]]),4,1)</f>
        <v>R26</v>
      </c>
      <c r="AA26" s="57">
        <f>IF(MATCH(Output_Table[[#This Row],[Year &amp; month output plan]],Output_Table[[#All],[Year &amp; month output plan]],0)+2=ROW(Output_Table[[#This Row],[Job]]),1,0)</f>
        <v>1</v>
      </c>
      <c r="AB26" s="57">
        <f>IF(MATCH(Output_Table[[#This Row],[Year &amp; month output plan]],Output_Table[[#All],[Year &amp; month output plan]],1)+2=ROW(Output_Table[[#This Row],[Job]]),1,0)</f>
        <v>0</v>
      </c>
      <c r="AC26" s="57">
        <f>IFERROR(VALUE(LEFT(Output_Table[[#This Row],[Progress]],2)),"")</f>
        <v>20</v>
      </c>
    </row>
    <row r="27" spans="1:29" ht="180" x14ac:dyDescent="0.25">
      <c r="A27" s="76" t="s">
        <v>125</v>
      </c>
      <c r="B27" s="41">
        <v>42983</v>
      </c>
      <c r="C27" s="33">
        <v>8</v>
      </c>
      <c r="D27" s="33" t="s">
        <v>5</v>
      </c>
      <c r="E27" s="33" t="s">
        <v>70</v>
      </c>
      <c r="F27" s="47" t="s">
        <v>71</v>
      </c>
      <c r="G27" s="33" t="s">
        <v>42</v>
      </c>
      <c r="H27" s="84">
        <f>_xlfn.IFNA(VLOOKUP(Output_Table[[#This Row],[Progress]],ProgressCalculation_List,6,FALSE),"")</f>
        <v>1.0000000000000002</v>
      </c>
      <c r="I27" s="85"/>
      <c r="J27" s="87">
        <v>43021</v>
      </c>
      <c r="K27" s="88">
        <v>8</v>
      </c>
      <c r="L27" s="90"/>
      <c r="M27" s="45">
        <v>43003.5625</v>
      </c>
      <c r="N27" s="36" t="s">
        <v>85</v>
      </c>
      <c r="O27" s="55">
        <f ca="1">IFERROR(INDIRECT(Output_Table[[#This Row],[Month plan begins]])-INDIRECT(Output_Table[[#This Row],[In stock Month begins]])-Output_Table[[#This Row],[Assembled]],0)</f>
        <v>-64</v>
      </c>
      <c r="P27" s="71">
        <f ca="1">IFERROR(SUBTOTAL(109,INDIRECT(Output_Table[[#This Row],[First cell]]):INDIRECT(Output_Table[[#This Row],[Last cell]])),0)</f>
        <v>64</v>
      </c>
      <c r="Q27" s="29"/>
      <c r="R27" s="29"/>
      <c r="S27" s="29" t="s">
        <v>76</v>
      </c>
      <c r="T27" s="61">
        <v>2017</v>
      </c>
      <c r="U27" s="57">
        <f>_xlfn.NUMBERVALUE(Output_Table[[#This Row],[Year]]&amp;TEXT(_xlfn.IFNA(VLOOKUP(Output_Table[[#This Row],[Output month]],OutupMonth_Table[],2,FALSE),""),"00"))</f>
        <v>201710</v>
      </c>
      <c r="V27" s="57">
        <f>_xlfn.NUMBERVALUE(YEAR(Output_Table[[#This Row],[Out by]])&amp; TEXT(MONTH(Output_Table[[#This Row],[Out by]]),"00"))</f>
        <v>201710</v>
      </c>
      <c r="W27" s="57" t="str">
        <f>ADDRESS(MATCH(Output_Table[[#This Row],[Year &amp; month output plan]],Output_Table[[#All],[Year &amp; month output plan]],0)+2,COLUMN(Output_Table[[#This Row],[Out qty]]),4,1)</f>
        <v>K26</v>
      </c>
      <c r="X27" s="57" t="str">
        <f>ADDRESS(MATCH(Output_Table[[#This Row],[Year &amp; month output plan]],Output_Table[[#All],[Year &amp; month output plan]],1)+2,COLUMN(Output_Table[[#This Row],[Out qty]]),4,1)</f>
        <v>K33</v>
      </c>
      <c r="Y27" s="57" t="str">
        <f>ADDRESS(MATCH(Output_Table[[#This Row],[Year &amp; month output plan]],Output_Table[[#All],[Year &amp; month output plan]],0)+2,COLUMN(Output_Table[[#This Row],[In stock (month begins)]]),4,1)</f>
        <v>Q26</v>
      </c>
      <c r="Z27" s="57" t="str">
        <f>ADDRESS(MATCH(Output_Table[[#This Row],[Year &amp; month output plan]],Output_Table[[#All],[Year &amp; month output plan]],0)+2,COLUMN(Output_Table[[#This Row],[Month plan]]),4,1)</f>
        <v>R26</v>
      </c>
      <c r="AA27" s="57">
        <f>IF(MATCH(Output_Table[[#This Row],[Year &amp; month output plan]],Output_Table[[#All],[Year &amp; month output plan]],0)+2=ROW(Output_Table[[#This Row],[Job]]),1,0)</f>
        <v>0</v>
      </c>
      <c r="AB27" s="57">
        <f>IF(MATCH(Output_Table[[#This Row],[Year &amp; month output plan]],Output_Table[[#All],[Year &amp; month output plan]],1)+2=ROW(Output_Table[[#This Row],[Job]]),1,0)</f>
        <v>0</v>
      </c>
      <c r="AC27" s="57">
        <f>IFERROR(VALUE(LEFT(Output_Table[[#This Row],[Progress]],2)),"")</f>
        <v>20</v>
      </c>
    </row>
    <row r="28" spans="1:29" ht="90" x14ac:dyDescent="0.25">
      <c r="A28" s="76" t="s">
        <v>126</v>
      </c>
      <c r="B28" s="41">
        <v>42983</v>
      </c>
      <c r="C28" s="33">
        <v>8</v>
      </c>
      <c r="D28" s="33" t="s">
        <v>5</v>
      </c>
      <c r="E28" s="33" t="s">
        <v>44</v>
      </c>
      <c r="F28" s="41">
        <v>42992</v>
      </c>
      <c r="G28" s="33" t="s">
        <v>42</v>
      </c>
      <c r="H28" s="84">
        <f>_xlfn.IFNA(VLOOKUP(Output_Table[[#This Row],[Progress]],ProgressCalculation_List,6,FALSE),"")</f>
        <v>1.0000000000000002</v>
      </c>
      <c r="I28" s="85"/>
      <c r="J28" s="87">
        <v>43028</v>
      </c>
      <c r="K28" s="88">
        <v>8</v>
      </c>
      <c r="L28" s="36" t="s">
        <v>77</v>
      </c>
      <c r="M28" s="45">
        <v>43007.520833333336</v>
      </c>
      <c r="N28" s="50" t="s">
        <v>83</v>
      </c>
      <c r="O28" s="55">
        <f ca="1">IFERROR(INDIRECT(Output_Table[[#This Row],[Month plan begins]])-INDIRECT(Output_Table[[#This Row],[In stock Month begins]])-Output_Table[[#This Row],[Assembled]],0)</f>
        <v>-64</v>
      </c>
      <c r="P28" s="71">
        <f ca="1">IFERROR(SUBTOTAL(109,INDIRECT(Output_Table[[#This Row],[First cell]]):INDIRECT(Output_Table[[#This Row],[Last cell]])),0)</f>
        <v>64</v>
      </c>
      <c r="Q28" s="29"/>
      <c r="R28" s="29"/>
      <c r="S28" s="29" t="s">
        <v>76</v>
      </c>
      <c r="T28" s="61">
        <v>2017</v>
      </c>
      <c r="U28" s="57">
        <f>_xlfn.NUMBERVALUE(Output_Table[[#This Row],[Year]]&amp;TEXT(_xlfn.IFNA(VLOOKUP(Output_Table[[#This Row],[Output month]],OutupMonth_Table[],2,FALSE),""),"00"))</f>
        <v>201710</v>
      </c>
      <c r="V28" s="57">
        <f>_xlfn.NUMBERVALUE(YEAR(Output_Table[[#This Row],[Out by]])&amp; TEXT(MONTH(Output_Table[[#This Row],[Out by]]),"00"))</f>
        <v>201710</v>
      </c>
      <c r="W28" s="57" t="str">
        <f>ADDRESS(MATCH(Output_Table[[#This Row],[Year &amp; month output plan]],Output_Table[[#All],[Year &amp; month output plan]],0)+2,COLUMN(Output_Table[[#This Row],[Out qty]]),4,1)</f>
        <v>K26</v>
      </c>
      <c r="X28" s="57" t="str">
        <f>ADDRESS(MATCH(Output_Table[[#This Row],[Year &amp; month output plan]],Output_Table[[#All],[Year &amp; month output plan]],1)+2,COLUMN(Output_Table[[#This Row],[Out qty]]),4,1)</f>
        <v>K33</v>
      </c>
      <c r="Y28" s="57" t="str">
        <f>ADDRESS(MATCH(Output_Table[[#This Row],[Year &amp; month output plan]],Output_Table[[#All],[Year &amp; month output plan]],0)+2,COLUMN(Output_Table[[#This Row],[In stock (month begins)]]),4,1)</f>
        <v>Q26</v>
      </c>
      <c r="Z28" s="57" t="str">
        <f>ADDRESS(MATCH(Output_Table[[#This Row],[Year &amp; month output plan]],Output_Table[[#All],[Year &amp; month output plan]],0)+2,COLUMN(Output_Table[[#This Row],[Month plan]]),4,1)</f>
        <v>R26</v>
      </c>
      <c r="AA28" s="57">
        <f>IF(MATCH(Output_Table[[#This Row],[Year &amp; month output plan]],Output_Table[[#All],[Year &amp; month output plan]],0)+2=ROW(Output_Table[[#This Row],[Job]]),1,0)</f>
        <v>0</v>
      </c>
      <c r="AB28" s="57">
        <f>IF(MATCH(Output_Table[[#This Row],[Year &amp; month output plan]],Output_Table[[#All],[Year &amp; month output plan]],1)+2=ROW(Output_Table[[#This Row],[Job]]),1,0)</f>
        <v>0</v>
      </c>
      <c r="AC28" s="57">
        <f>IFERROR(VALUE(LEFT(Output_Table[[#This Row],[Progress]],2)),"")</f>
        <v>20</v>
      </c>
    </row>
    <row r="29" spans="1:29" ht="60" x14ac:dyDescent="0.25">
      <c r="A29" s="76" t="s">
        <v>127</v>
      </c>
      <c r="B29" s="41">
        <v>43003</v>
      </c>
      <c r="C29" s="33">
        <v>8</v>
      </c>
      <c r="D29" s="33" t="s">
        <v>5</v>
      </c>
      <c r="E29" s="33"/>
      <c r="F29" s="33"/>
      <c r="G29" s="33" t="s">
        <v>42</v>
      </c>
      <c r="H29" s="84">
        <f>_xlfn.IFNA(VLOOKUP(Output_Table[[#This Row],[Progress]],ProgressCalculation_List,6,FALSE),"")</f>
        <v>1.0000000000000002</v>
      </c>
      <c r="I29" s="85"/>
      <c r="J29" s="87">
        <v>43028</v>
      </c>
      <c r="K29" s="88">
        <v>8</v>
      </c>
      <c r="L29" s="90"/>
      <c r="M29" s="45">
        <v>43007.5</v>
      </c>
      <c r="N29" s="50" t="s">
        <v>79</v>
      </c>
      <c r="O29" s="55">
        <f ca="1">IFERROR(INDIRECT(Output_Table[[#This Row],[Month plan begins]])-INDIRECT(Output_Table[[#This Row],[In stock Month begins]])-Output_Table[[#This Row],[Assembled]],0)</f>
        <v>-64</v>
      </c>
      <c r="P29" s="71">
        <f ca="1">IFERROR(SUBTOTAL(109,INDIRECT(Output_Table[[#This Row],[First cell]]):INDIRECT(Output_Table[[#This Row],[Last cell]])),0)</f>
        <v>64</v>
      </c>
      <c r="Q29" s="29"/>
      <c r="R29" s="29"/>
      <c r="S29" s="29" t="s">
        <v>76</v>
      </c>
      <c r="T29" s="61">
        <v>2017</v>
      </c>
      <c r="U29" s="57">
        <f>_xlfn.NUMBERVALUE(Output_Table[[#This Row],[Year]]&amp;TEXT(_xlfn.IFNA(VLOOKUP(Output_Table[[#This Row],[Output month]],OutupMonth_Table[],2,FALSE),""),"00"))</f>
        <v>201710</v>
      </c>
      <c r="V29" s="57">
        <f>_xlfn.NUMBERVALUE(YEAR(Output_Table[[#This Row],[Out by]])&amp; TEXT(MONTH(Output_Table[[#This Row],[Out by]]),"00"))</f>
        <v>201710</v>
      </c>
      <c r="W29" s="57" t="str">
        <f>ADDRESS(MATCH(Output_Table[[#This Row],[Year &amp; month output plan]],Output_Table[[#All],[Year &amp; month output plan]],0)+2,COLUMN(Output_Table[[#This Row],[Out qty]]),4,1)</f>
        <v>K26</v>
      </c>
      <c r="X29" s="57" t="str">
        <f>ADDRESS(MATCH(Output_Table[[#This Row],[Year &amp; month output plan]],Output_Table[[#All],[Year &amp; month output plan]],1)+2,COLUMN(Output_Table[[#This Row],[Out qty]]),4,1)</f>
        <v>K33</v>
      </c>
      <c r="Y29" s="57" t="str">
        <f>ADDRESS(MATCH(Output_Table[[#This Row],[Year &amp; month output plan]],Output_Table[[#All],[Year &amp; month output plan]],0)+2,COLUMN(Output_Table[[#This Row],[In stock (month begins)]]),4,1)</f>
        <v>Q26</v>
      </c>
      <c r="Z29" s="57" t="str">
        <f>ADDRESS(MATCH(Output_Table[[#This Row],[Year &amp; month output plan]],Output_Table[[#All],[Year &amp; month output plan]],0)+2,COLUMN(Output_Table[[#This Row],[Month plan]]),4,1)</f>
        <v>R26</v>
      </c>
      <c r="AA29" s="57">
        <f>IF(MATCH(Output_Table[[#This Row],[Year &amp; month output plan]],Output_Table[[#All],[Year &amp; month output plan]],0)+2=ROW(Output_Table[[#This Row],[Job]]),1,0)</f>
        <v>0</v>
      </c>
      <c r="AB29" s="57">
        <f>IF(MATCH(Output_Table[[#This Row],[Year &amp; month output plan]],Output_Table[[#All],[Year &amp; month output plan]],1)+2=ROW(Output_Table[[#This Row],[Job]]),1,0)</f>
        <v>0</v>
      </c>
      <c r="AC29" s="57">
        <f>IFERROR(VALUE(LEFT(Output_Table[[#This Row],[Progress]],2)),"")</f>
        <v>20</v>
      </c>
    </row>
    <row r="30" spans="1:29" ht="60" x14ac:dyDescent="0.25">
      <c r="A30" s="76" t="s">
        <v>128</v>
      </c>
      <c r="B30" s="41">
        <v>43004</v>
      </c>
      <c r="C30" s="33">
        <v>8</v>
      </c>
      <c r="D30" s="33" t="s">
        <v>5</v>
      </c>
      <c r="E30" s="33"/>
      <c r="F30" s="33"/>
      <c r="G30" s="33" t="s">
        <v>42</v>
      </c>
      <c r="H30" s="84">
        <f>_xlfn.IFNA(VLOOKUP(Output_Table[[#This Row],[Progress]],ProgressCalculation_List,6,FALSE),"")</f>
        <v>1.0000000000000002</v>
      </c>
      <c r="I30" s="85"/>
      <c r="J30" s="87">
        <v>43028</v>
      </c>
      <c r="K30" s="88">
        <v>8</v>
      </c>
      <c r="L30" s="90"/>
      <c r="M30" s="45">
        <v>43038.444444444445</v>
      </c>
      <c r="N30" s="50" t="s">
        <v>79</v>
      </c>
      <c r="O30" s="55">
        <f ca="1">IFERROR(INDIRECT(Output_Table[[#This Row],[Month plan begins]])-INDIRECT(Output_Table[[#This Row],[In stock Month begins]])-Output_Table[[#This Row],[Assembled]],0)</f>
        <v>-64</v>
      </c>
      <c r="P30" s="71">
        <f ca="1">IFERROR(SUBTOTAL(109,INDIRECT(Output_Table[[#This Row],[First cell]]):INDIRECT(Output_Table[[#This Row],[Last cell]])),0)</f>
        <v>64</v>
      </c>
      <c r="Q30" s="29"/>
      <c r="R30" s="29"/>
      <c r="S30" s="29" t="s">
        <v>76</v>
      </c>
      <c r="T30" s="61">
        <v>2017</v>
      </c>
      <c r="U30" s="57">
        <f>_xlfn.NUMBERVALUE(Output_Table[[#This Row],[Year]]&amp;TEXT(_xlfn.IFNA(VLOOKUP(Output_Table[[#This Row],[Output month]],OutupMonth_Table[],2,FALSE),""),"00"))</f>
        <v>201710</v>
      </c>
      <c r="V30" s="57">
        <f>_xlfn.NUMBERVALUE(YEAR(Output_Table[[#This Row],[Out by]])&amp; TEXT(MONTH(Output_Table[[#This Row],[Out by]]),"00"))</f>
        <v>201710</v>
      </c>
      <c r="W30" s="57" t="str">
        <f>ADDRESS(MATCH(Output_Table[[#This Row],[Year &amp; month output plan]],Output_Table[[#All],[Year &amp; month output plan]],0)+2,COLUMN(Output_Table[[#This Row],[Out qty]]),4,1)</f>
        <v>K26</v>
      </c>
      <c r="X30" s="57" t="str">
        <f>ADDRESS(MATCH(Output_Table[[#This Row],[Year &amp; month output plan]],Output_Table[[#All],[Year &amp; month output plan]],1)+2,COLUMN(Output_Table[[#This Row],[Out qty]]),4,1)</f>
        <v>K33</v>
      </c>
      <c r="Y30" s="57" t="str">
        <f>ADDRESS(MATCH(Output_Table[[#This Row],[Year &amp; month output plan]],Output_Table[[#All],[Year &amp; month output plan]],0)+2,COLUMN(Output_Table[[#This Row],[In stock (month begins)]]),4,1)</f>
        <v>Q26</v>
      </c>
      <c r="Z30" s="57" t="str">
        <f>ADDRESS(MATCH(Output_Table[[#This Row],[Year &amp; month output plan]],Output_Table[[#All],[Year &amp; month output plan]],0)+2,COLUMN(Output_Table[[#This Row],[Month plan]]),4,1)</f>
        <v>R26</v>
      </c>
      <c r="AA30" s="57">
        <f>IF(MATCH(Output_Table[[#This Row],[Year &amp; month output plan]],Output_Table[[#All],[Year &amp; month output plan]],0)+2=ROW(Output_Table[[#This Row],[Job]]),1,0)</f>
        <v>0</v>
      </c>
      <c r="AB30" s="57">
        <f>IF(MATCH(Output_Table[[#This Row],[Year &amp; month output plan]],Output_Table[[#All],[Year &amp; month output plan]],1)+2=ROW(Output_Table[[#This Row],[Job]]),1,0)</f>
        <v>0</v>
      </c>
      <c r="AC30" s="57">
        <f>IFERROR(VALUE(LEFT(Output_Table[[#This Row],[Progress]],2)),"")</f>
        <v>20</v>
      </c>
    </row>
    <row r="31" spans="1:29" x14ac:dyDescent="0.25">
      <c r="A31" s="76" t="s">
        <v>129</v>
      </c>
      <c r="B31" s="41">
        <v>43004</v>
      </c>
      <c r="C31" s="33">
        <v>8</v>
      </c>
      <c r="D31" s="33" t="s">
        <v>5</v>
      </c>
      <c r="E31" s="33"/>
      <c r="F31" s="33"/>
      <c r="G31" s="33" t="s">
        <v>42</v>
      </c>
      <c r="H31" s="84">
        <f>_xlfn.IFNA(VLOOKUP(Output_Table[[#This Row],[Progress]],ProgressCalculation_List,6,FALSE),"")</f>
        <v>1.0000000000000002</v>
      </c>
      <c r="I31" s="85"/>
      <c r="J31" s="87">
        <v>43035</v>
      </c>
      <c r="K31" s="88">
        <v>8</v>
      </c>
      <c r="L31" s="90"/>
      <c r="M31" s="45">
        <v>43012.364583333336</v>
      </c>
      <c r="N31" s="33" t="s">
        <v>78</v>
      </c>
      <c r="O31" s="55">
        <f ca="1">IFERROR(INDIRECT(Output_Table[[#This Row],[Month plan begins]])-INDIRECT(Output_Table[[#This Row],[In stock Month begins]])-Output_Table[[#This Row],[Assembled]],0)</f>
        <v>-64</v>
      </c>
      <c r="P31" s="71">
        <f ca="1">IFERROR(SUBTOTAL(109,INDIRECT(Output_Table[[#This Row],[First cell]]):INDIRECT(Output_Table[[#This Row],[Last cell]])),0)</f>
        <v>64</v>
      </c>
      <c r="Q31" s="29"/>
      <c r="R31" s="29"/>
      <c r="S31" s="29" t="s">
        <v>76</v>
      </c>
      <c r="T31" s="61">
        <v>2017</v>
      </c>
      <c r="U31" s="57">
        <f>_xlfn.NUMBERVALUE(Output_Table[[#This Row],[Year]]&amp;TEXT(_xlfn.IFNA(VLOOKUP(Output_Table[[#This Row],[Output month]],OutupMonth_Table[],2,FALSE),""),"00"))</f>
        <v>201710</v>
      </c>
      <c r="V31" s="57">
        <f>_xlfn.NUMBERVALUE(YEAR(Output_Table[[#This Row],[Out by]])&amp; TEXT(MONTH(Output_Table[[#This Row],[Out by]]),"00"))</f>
        <v>201710</v>
      </c>
      <c r="W31" s="57" t="str">
        <f>ADDRESS(MATCH(Output_Table[[#This Row],[Year &amp; month output plan]],Output_Table[[#All],[Year &amp; month output plan]],0)+2,COLUMN(Output_Table[[#This Row],[Out qty]]),4,1)</f>
        <v>K26</v>
      </c>
      <c r="X31" s="57" t="str">
        <f>ADDRESS(MATCH(Output_Table[[#This Row],[Year &amp; month output plan]],Output_Table[[#All],[Year &amp; month output plan]],1)+2,COLUMN(Output_Table[[#This Row],[Out qty]]),4,1)</f>
        <v>K33</v>
      </c>
      <c r="Y31" s="57" t="str">
        <f>ADDRESS(MATCH(Output_Table[[#This Row],[Year &amp; month output plan]],Output_Table[[#All],[Year &amp; month output plan]],0)+2,COLUMN(Output_Table[[#This Row],[In stock (month begins)]]),4,1)</f>
        <v>Q26</v>
      </c>
      <c r="Z31" s="57" t="str">
        <f>ADDRESS(MATCH(Output_Table[[#This Row],[Year &amp; month output plan]],Output_Table[[#All],[Year &amp; month output plan]],0)+2,COLUMN(Output_Table[[#This Row],[Month plan]]),4,1)</f>
        <v>R26</v>
      </c>
      <c r="AA31" s="57">
        <f>IF(MATCH(Output_Table[[#This Row],[Year &amp; month output plan]],Output_Table[[#All],[Year &amp; month output plan]],0)+2=ROW(Output_Table[[#This Row],[Job]]),1,0)</f>
        <v>0</v>
      </c>
      <c r="AB31" s="57">
        <f>IF(MATCH(Output_Table[[#This Row],[Year &amp; month output plan]],Output_Table[[#All],[Year &amp; month output plan]],1)+2=ROW(Output_Table[[#This Row],[Job]]),1,0)</f>
        <v>0</v>
      </c>
      <c r="AC31" s="57">
        <f>IFERROR(VALUE(LEFT(Output_Table[[#This Row],[Progress]],2)),"")</f>
        <v>20</v>
      </c>
    </row>
    <row r="32" spans="1:29" x14ac:dyDescent="0.25">
      <c r="A32" s="76" t="s">
        <v>130</v>
      </c>
      <c r="B32" s="41">
        <v>43004</v>
      </c>
      <c r="C32" s="33">
        <v>8</v>
      </c>
      <c r="D32" s="33" t="s">
        <v>5</v>
      </c>
      <c r="E32" s="33"/>
      <c r="F32" s="33"/>
      <c r="G32" s="33" t="s">
        <v>42</v>
      </c>
      <c r="H32" s="84">
        <f>_xlfn.IFNA(VLOOKUP(Output_Table[[#This Row],[Progress]],ProgressCalculation_List,6,FALSE),"")</f>
        <v>1.0000000000000002</v>
      </c>
      <c r="I32" s="85"/>
      <c r="J32" s="87">
        <v>43035</v>
      </c>
      <c r="K32" s="88">
        <v>8</v>
      </c>
      <c r="L32" s="90"/>
      <c r="M32" s="45">
        <v>43012.625</v>
      </c>
      <c r="N32" s="33"/>
      <c r="O32" s="55">
        <f ca="1">IFERROR(INDIRECT(Output_Table[[#This Row],[Month plan begins]])-INDIRECT(Output_Table[[#This Row],[In stock Month begins]])-Output_Table[[#This Row],[Assembled]],0)</f>
        <v>-64</v>
      </c>
      <c r="P32" s="71">
        <f ca="1">IFERROR(SUBTOTAL(109,INDIRECT(Output_Table[[#This Row],[First cell]]):INDIRECT(Output_Table[[#This Row],[Last cell]])),0)</f>
        <v>64</v>
      </c>
      <c r="Q32" s="29"/>
      <c r="R32" s="29"/>
      <c r="S32" s="29" t="s">
        <v>76</v>
      </c>
      <c r="T32" s="61">
        <v>2017</v>
      </c>
      <c r="U32" s="57">
        <f>_xlfn.NUMBERVALUE(Output_Table[[#This Row],[Year]]&amp;TEXT(_xlfn.IFNA(VLOOKUP(Output_Table[[#This Row],[Output month]],OutupMonth_Table[],2,FALSE),""),"00"))</f>
        <v>201710</v>
      </c>
      <c r="V32" s="57">
        <f>_xlfn.NUMBERVALUE(YEAR(Output_Table[[#This Row],[Out by]])&amp; TEXT(MONTH(Output_Table[[#This Row],[Out by]]),"00"))</f>
        <v>201710</v>
      </c>
      <c r="W32" s="57" t="str">
        <f>ADDRESS(MATCH(Output_Table[[#This Row],[Year &amp; month output plan]],Output_Table[[#All],[Year &amp; month output plan]],0)+2,COLUMN(Output_Table[[#This Row],[Out qty]]),4,1)</f>
        <v>K26</v>
      </c>
      <c r="X32" s="57" t="str">
        <f>ADDRESS(MATCH(Output_Table[[#This Row],[Year &amp; month output plan]],Output_Table[[#All],[Year &amp; month output plan]],1)+2,COLUMN(Output_Table[[#This Row],[Out qty]]),4,1)</f>
        <v>K33</v>
      </c>
      <c r="Y32" s="57" t="str">
        <f>ADDRESS(MATCH(Output_Table[[#This Row],[Year &amp; month output plan]],Output_Table[[#All],[Year &amp; month output plan]],0)+2,COLUMN(Output_Table[[#This Row],[In stock (month begins)]]),4,1)</f>
        <v>Q26</v>
      </c>
      <c r="Z32" s="57" t="str">
        <f>ADDRESS(MATCH(Output_Table[[#This Row],[Year &amp; month output plan]],Output_Table[[#All],[Year &amp; month output plan]],0)+2,COLUMN(Output_Table[[#This Row],[Month plan]]),4,1)</f>
        <v>R26</v>
      </c>
      <c r="AA32" s="57">
        <f>IF(MATCH(Output_Table[[#This Row],[Year &amp; month output plan]],Output_Table[[#All],[Year &amp; month output plan]],0)+2=ROW(Output_Table[[#This Row],[Job]]),1,0)</f>
        <v>0</v>
      </c>
      <c r="AB32" s="57">
        <f>IF(MATCH(Output_Table[[#This Row],[Year &amp; month output plan]],Output_Table[[#All],[Year &amp; month output plan]],1)+2=ROW(Output_Table[[#This Row],[Job]]),1,0)</f>
        <v>0</v>
      </c>
      <c r="AC32" s="57">
        <f>IFERROR(VALUE(LEFT(Output_Table[[#This Row],[Progress]],2)),"")</f>
        <v>20</v>
      </c>
    </row>
    <row r="33" spans="1:29" x14ac:dyDescent="0.25">
      <c r="A33" s="76" t="s">
        <v>131</v>
      </c>
      <c r="B33" s="41">
        <v>43012</v>
      </c>
      <c r="C33" s="33">
        <v>8</v>
      </c>
      <c r="D33" s="33" t="s">
        <v>5</v>
      </c>
      <c r="E33" s="33"/>
      <c r="F33" s="33"/>
      <c r="G33" s="33" t="s">
        <v>42</v>
      </c>
      <c r="H33" s="84">
        <f>_xlfn.IFNA(VLOOKUP(Output_Table[[#This Row],[Progress]],ProgressCalculation_List,6,FALSE),"")</f>
        <v>1.0000000000000002</v>
      </c>
      <c r="I33" s="85"/>
      <c r="J33" s="87">
        <v>43035</v>
      </c>
      <c r="K33" s="88">
        <v>8</v>
      </c>
      <c r="L33" s="90"/>
      <c r="M33" s="45">
        <v>37173.4375</v>
      </c>
      <c r="N33" s="33"/>
      <c r="O33" s="55">
        <f ca="1">IFERROR(INDIRECT(Output_Table[[#This Row],[Month plan begins]])-INDIRECT(Output_Table[[#This Row],[In stock Month begins]])-Output_Table[[#This Row],[Assembled]],0)</f>
        <v>-64</v>
      </c>
      <c r="P33" s="71">
        <f ca="1">IFERROR(SUBTOTAL(109,INDIRECT(Output_Table[[#This Row],[First cell]]):INDIRECT(Output_Table[[#This Row],[Last cell]])),0)</f>
        <v>64</v>
      </c>
      <c r="Q33" s="29"/>
      <c r="R33" s="29"/>
      <c r="S33" s="29" t="s">
        <v>76</v>
      </c>
      <c r="T33" s="61">
        <v>2017</v>
      </c>
      <c r="U33" s="57">
        <f>_xlfn.NUMBERVALUE(Output_Table[[#This Row],[Year]]&amp;TEXT(_xlfn.IFNA(VLOOKUP(Output_Table[[#This Row],[Output month]],OutupMonth_Table[],2,FALSE),""),"00"))</f>
        <v>201710</v>
      </c>
      <c r="V33" s="57">
        <f>_xlfn.NUMBERVALUE(YEAR(Output_Table[[#This Row],[Out by]])&amp; TEXT(MONTH(Output_Table[[#This Row],[Out by]]),"00"))</f>
        <v>201710</v>
      </c>
      <c r="W33" s="57" t="str">
        <f>ADDRESS(MATCH(Output_Table[[#This Row],[Year &amp; month output plan]],Output_Table[[#All],[Year &amp; month output plan]],0)+2,COLUMN(Output_Table[[#This Row],[Out qty]]),4,1)</f>
        <v>K26</v>
      </c>
      <c r="X33" s="57" t="str">
        <f>ADDRESS(MATCH(Output_Table[[#This Row],[Year &amp; month output plan]],Output_Table[[#All],[Year &amp; month output plan]],1)+2,COLUMN(Output_Table[[#This Row],[Out qty]]),4,1)</f>
        <v>K33</v>
      </c>
      <c r="Y33" s="57" t="str">
        <f>ADDRESS(MATCH(Output_Table[[#This Row],[Year &amp; month output plan]],Output_Table[[#All],[Year &amp; month output plan]],0)+2,COLUMN(Output_Table[[#This Row],[In stock (month begins)]]),4,1)</f>
        <v>Q26</v>
      </c>
      <c r="Z33" s="57" t="str">
        <f>ADDRESS(MATCH(Output_Table[[#This Row],[Year &amp; month output plan]],Output_Table[[#All],[Year &amp; month output plan]],0)+2,COLUMN(Output_Table[[#This Row],[Month plan]]),4,1)</f>
        <v>R26</v>
      </c>
      <c r="AA33" s="57">
        <f>IF(MATCH(Output_Table[[#This Row],[Year &amp; month output plan]],Output_Table[[#All],[Year &amp; month output plan]],0)+2=ROW(Output_Table[[#This Row],[Job]]),1,0)</f>
        <v>0</v>
      </c>
      <c r="AB33" s="57">
        <f>IF(MATCH(Output_Table[[#This Row],[Year &amp; month output plan]],Output_Table[[#All],[Year &amp; month output plan]],1)+2=ROW(Output_Table[[#This Row],[Job]]),1,0)</f>
        <v>1</v>
      </c>
      <c r="AC33" s="57">
        <f>IFERROR(VALUE(LEFT(Output_Table[[#This Row],[Progress]],2)),"")</f>
        <v>20</v>
      </c>
    </row>
    <row r="34" spans="1:29" ht="30" x14ac:dyDescent="0.25">
      <c r="A34" s="76" t="s">
        <v>132</v>
      </c>
      <c r="B34" s="41">
        <v>43012</v>
      </c>
      <c r="C34" s="33">
        <v>8</v>
      </c>
      <c r="D34" s="33" t="s">
        <v>5</v>
      </c>
      <c r="E34" s="33" t="s">
        <v>80</v>
      </c>
      <c r="F34" s="47" t="s">
        <v>82</v>
      </c>
      <c r="G34" s="33" t="s">
        <v>42</v>
      </c>
      <c r="H34" s="84">
        <f>_xlfn.IFNA(VLOOKUP(Output_Table[[#This Row],[Progress]],ProgressCalculation_List,6,FALSE),"")</f>
        <v>1.0000000000000002</v>
      </c>
      <c r="I34" s="85"/>
      <c r="J34" s="87">
        <v>43039</v>
      </c>
      <c r="K34" s="88">
        <v>8</v>
      </c>
      <c r="L34" s="90"/>
      <c r="M34" s="45">
        <v>43018.46875</v>
      </c>
      <c r="N34" s="33"/>
      <c r="O34" s="55">
        <f ca="1">IFERROR(INDIRECT(Output_Table[[#This Row],[Month plan begins]])-INDIRECT(Output_Table[[#This Row],[In stock Month begins]])-Output_Table[[#This Row],[Assembled]],0)</f>
        <v>-71</v>
      </c>
      <c r="P34" s="71">
        <f ca="1">IFERROR(SUBTOTAL(109,INDIRECT(Output_Table[[#This Row],[First cell]]):INDIRECT(Output_Table[[#This Row],[Last cell]])),0)</f>
        <v>71</v>
      </c>
      <c r="Q34" s="29">
        <v>0</v>
      </c>
      <c r="R34" s="29">
        <v>0</v>
      </c>
      <c r="S34" s="29" t="s">
        <v>88</v>
      </c>
      <c r="T34" s="61">
        <v>2017</v>
      </c>
      <c r="U34" s="57">
        <f>_xlfn.NUMBERVALUE(Output_Table[[#This Row],[Year]]&amp;TEXT(_xlfn.IFNA(VLOOKUP(Output_Table[[#This Row],[Output month]],OutupMonth_Table[],2,FALSE),""),"00"))</f>
        <v>201711</v>
      </c>
      <c r="V34" s="57">
        <f>_xlfn.NUMBERVALUE(YEAR(Output_Table[[#This Row],[Out by]])&amp; TEXT(MONTH(Output_Table[[#This Row],[Out by]]),"00"))</f>
        <v>201710</v>
      </c>
      <c r="W34" s="57" t="str">
        <f>ADDRESS(MATCH(Output_Table[[#This Row],[Year &amp; month output plan]],Output_Table[[#All],[Year &amp; month output plan]],0)+2,COLUMN(Output_Table[[#This Row],[Out qty]]),4,1)</f>
        <v>K34</v>
      </c>
      <c r="X34" s="57" t="str">
        <f>ADDRESS(MATCH(Output_Table[[#This Row],[Year &amp; month output plan]],Output_Table[[#All],[Year &amp; month output plan]],1)+2,COLUMN(Output_Table[[#This Row],[Out qty]]),4,1)</f>
        <v>K42</v>
      </c>
      <c r="Y34" s="57" t="str">
        <f>ADDRESS(MATCH(Output_Table[[#This Row],[Year &amp; month output plan]],Output_Table[[#All],[Year &amp; month output plan]],0)+2,COLUMN(Output_Table[[#This Row],[In stock (month begins)]]),4,1)</f>
        <v>Q34</v>
      </c>
      <c r="Z34" s="57" t="str">
        <f>ADDRESS(MATCH(Output_Table[[#This Row],[Year &amp; month output plan]],Output_Table[[#All],[Year &amp; month output plan]],0)+2,COLUMN(Output_Table[[#This Row],[Month plan]]),4,1)</f>
        <v>R34</v>
      </c>
      <c r="AA34" s="57">
        <f>IF(MATCH(Output_Table[[#This Row],[Year &amp; month output plan]],Output_Table[[#All],[Year &amp; month output plan]],0)+2=ROW(Output_Table[[#This Row],[Job]]),1,0)</f>
        <v>1</v>
      </c>
      <c r="AB34" s="57">
        <f>IF(MATCH(Output_Table[[#This Row],[Year &amp; month output plan]],Output_Table[[#All],[Year &amp; month output plan]],1)+2=ROW(Output_Table[[#This Row],[Job]]),1,0)</f>
        <v>0</v>
      </c>
      <c r="AC34" s="57">
        <f>IFERROR(VALUE(LEFT(Output_Table[[#This Row],[Progress]],2)),"")</f>
        <v>20</v>
      </c>
    </row>
    <row r="35" spans="1:29" ht="45" x14ac:dyDescent="0.25">
      <c r="A35" s="76" t="s">
        <v>133</v>
      </c>
      <c r="B35" s="41">
        <v>43012</v>
      </c>
      <c r="C35" s="33">
        <v>8</v>
      </c>
      <c r="D35" s="33" t="s">
        <v>5</v>
      </c>
      <c r="E35" s="33" t="s">
        <v>81</v>
      </c>
      <c r="F35" s="47" t="s">
        <v>89</v>
      </c>
      <c r="G35" s="33" t="s">
        <v>42</v>
      </c>
      <c r="H35" s="84">
        <f>_xlfn.IFNA(VLOOKUP(Output_Table[[#This Row],[Progress]],ProgressCalculation_List,6,FALSE),"")</f>
        <v>1.0000000000000002</v>
      </c>
      <c r="I35" s="85"/>
      <c r="J35" s="87">
        <v>43045</v>
      </c>
      <c r="K35" s="88">
        <v>8</v>
      </c>
      <c r="L35" s="90"/>
      <c r="M35" s="45">
        <v>43028.520833333336</v>
      </c>
      <c r="N35" s="42" t="s">
        <v>103</v>
      </c>
      <c r="O35" s="55">
        <f ca="1">IFERROR(INDIRECT(Output_Table[[#This Row],[Month plan begins]])-INDIRECT(Output_Table[[#This Row],[In stock Month begins]])-Output_Table[[#This Row],[Assembled]],0)</f>
        <v>-71</v>
      </c>
      <c r="P35" s="71">
        <f ca="1">IFERROR(SUBTOTAL(109,INDIRECT(Output_Table[[#This Row],[First cell]]):INDIRECT(Output_Table[[#This Row],[Last cell]])),0)</f>
        <v>71</v>
      </c>
      <c r="Q35" s="29"/>
      <c r="R35" s="29"/>
      <c r="S35" s="29" t="s">
        <v>88</v>
      </c>
      <c r="T35" s="61">
        <v>2017</v>
      </c>
      <c r="U35" s="57">
        <f>_xlfn.NUMBERVALUE(Output_Table[[#This Row],[Year]]&amp;TEXT(_xlfn.IFNA(VLOOKUP(Output_Table[[#This Row],[Output month]],OutupMonth_Table[],2,FALSE),""),"00"))</f>
        <v>201711</v>
      </c>
      <c r="V35" s="57">
        <f>_xlfn.NUMBERVALUE(YEAR(Output_Table[[#This Row],[Out by]])&amp; TEXT(MONTH(Output_Table[[#This Row],[Out by]]),"00"))</f>
        <v>201711</v>
      </c>
      <c r="W35" s="57" t="str">
        <f>ADDRESS(MATCH(Output_Table[[#This Row],[Year &amp; month output plan]],Output_Table[[#All],[Year &amp; month output plan]],0)+2,COLUMN(Output_Table[[#This Row],[Out qty]]),4,1)</f>
        <v>K34</v>
      </c>
      <c r="X35" s="57" t="str">
        <f>ADDRESS(MATCH(Output_Table[[#This Row],[Year &amp; month output plan]],Output_Table[[#All],[Year &amp; month output plan]],1)+2,COLUMN(Output_Table[[#This Row],[Out qty]]),4,1)</f>
        <v>K42</v>
      </c>
      <c r="Y35" s="57" t="str">
        <f>ADDRESS(MATCH(Output_Table[[#This Row],[Year &amp; month output plan]],Output_Table[[#All],[Year &amp; month output plan]],0)+2,COLUMN(Output_Table[[#This Row],[In stock (month begins)]]),4,1)</f>
        <v>Q34</v>
      </c>
      <c r="Z35" s="57" t="str">
        <f>ADDRESS(MATCH(Output_Table[[#This Row],[Year &amp; month output plan]],Output_Table[[#All],[Year &amp; month output plan]],0)+2,COLUMN(Output_Table[[#This Row],[Month plan]]),4,1)</f>
        <v>R34</v>
      </c>
      <c r="AA35" s="57">
        <f>IF(MATCH(Output_Table[[#This Row],[Year &amp; month output plan]],Output_Table[[#All],[Year &amp; month output plan]],0)+2=ROW(Output_Table[[#This Row],[Job]]),1,0)</f>
        <v>0</v>
      </c>
      <c r="AB35" s="57">
        <f>IF(MATCH(Output_Table[[#This Row],[Year &amp; month output plan]],Output_Table[[#All],[Year &amp; month output plan]],1)+2=ROW(Output_Table[[#This Row],[Job]]),1,0)</f>
        <v>0</v>
      </c>
      <c r="AC35" s="57">
        <f>IFERROR(VALUE(LEFT(Output_Table[[#This Row],[Progress]],2)),"")</f>
        <v>20</v>
      </c>
    </row>
    <row r="36" spans="1:29" x14ac:dyDescent="0.25">
      <c r="A36" s="76" t="s">
        <v>134</v>
      </c>
      <c r="B36" s="41">
        <v>43025</v>
      </c>
      <c r="C36" s="33">
        <v>8</v>
      </c>
      <c r="D36" s="33" t="s">
        <v>5</v>
      </c>
      <c r="E36" s="33"/>
      <c r="F36" s="33"/>
      <c r="G36" s="33" t="s">
        <v>42</v>
      </c>
      <c r="H36" s="84">
        <f>_xlfn.IFNA(VLOOKUP(Output_Table[[#This Row],[Progress]],ProgressCalculation_List,6,FALSE),"")</f>
        <v>1.0000000000000002</v>
      </c>
      <c r="I36" s="85"/>
      <c r="J36" s="87">
        <v>43047</v>
      </c>
      <c r="K36" s="88">
        <v>8</v>
      </c>
      <c r="L36" s="90"/>
      <c r="M36" s="45">
        <v>43031.541666666664</v>
      </c>
      <c r="N36" s="33"/>
      <c r="O36" s="55">
        <f ca="1">IFERROR(INDIRECT(Output_Table[[#This Row],[Month plan begins]])-INDIRECT(Output_Table[[#This Row],[In stock Month begins]])-Output_Table[[#This Row],[Assembled]],0)</f>
        <v>-71</v>
      </c>
      <c r="P36" s="71">
        <f ca="1">IFERROR(SUBTOTAL(109,INDIRECT(Output_Table[[#This Row],[First cell]]):INDIRECT(Output_Table[[#This Row],[Last cell]])),0)</f>
        <v>71</v>
      </c>
      <c r="Q36" s="29"/>
      <c r="R36" s="29"/>
      <c r="S36" s="29" t="s">
        <v>88</v>
      </c>
      <c r="T36" s="61">
        <v>2017</v>
      </c>
      <c r="U36" s="57">
        <f>_xlfn.NUMBERVALUE(Output_Table[[#This Row],[Year]]&amp;TEXT(_xlfn.IFNA(VLOOKUP(Output_Table[[#This Row],[Output month]],OutupMonth_Table[],2,FALSE),""),"00"))</f>
        <v>201711</v>
      </c>
      <c r="V36" s="57">
        <f>_xlfn.NUMBERVALUE(YEAR(Output_Table[[#This Row],[Out by]])&amp; TEXT(MONTH(Output_Table[[#This Row],[Out by]]),"00"))</f>
        <v>201711</v>
      </c>
      <c r="W36" s="57" t="str">
        <f>ADDRESS(MATCH(Output_Table[[#This Row],[Year &amp; month output plan]],Output_Table[[#All],[Year &amp; month output plan]],0)+2,COLUMN(Output_Table[[#This Row],[Out qty]]),4,1)</f>
        <v>K34</v>
      </c>
      <c r="X36" s="57" t="str">
        <f>ADDRESS(MATCH(Output_Table[[#This Row],[Year &amp; month output plan]],Output_Table[[#All],[Year &amp; month output plan]],1)+2,COLUMN(Output_Table[[#This Row],[Out qty]]),4,1)</f>
        <v>K42</v>
      </c>
      <c r="Y36" s="57" t="str">
        <f>ADDRESS(MATCH(Output_Table[[#This Row],[Year &amp; month output plan]],Output_Table[[#All],[Year &amp; month output plan]],0)+2,COLUMN(Output_Table[[#This Row],[In stock (month begins)]]),4,1)</f>
        <v>Q34</v>
      </c>
      <c r="Z36" s="57" t="str">
        <f>ADDRESS(MATCH(Output_Table[[#This Row],[Year &amp; month output plan]],Output_Table[[#All],[Year &amp; month output plan]],0)+2,COLUMN(Output_Table[[#This Row],[Month plan]]),4,1)</f>
        <v>R34</v>
      </c>
      <c r="AA36" s="57">
        <f>IF(MATCH(Output_Table[[#This Row],[Year &amp; month output plan]],Output_Table[[#All],[Year &amp; month output plan]],0)+2=ROW(Output_Table[[#This Row],[Job]]),1,0)</f>
        <v>0</v>
      </c>
      <c r="AB36" s="57">
        <f>IF(MATCH(Output_Table[[#This Row],[Year &amp; month output plan]],Output_Table[[#All],[Year &amp; month output plan]],1)+2=ROW(Output_Table[[#This Row],[Job]]),1,0)</f>
        <v>0</v>
      </c>
      <c r="AC36" s="57">
        <f>IFERROR(VALUE(LEFT(Output_Table[[#This Row],[Progress]],2)),"")</f>
        <v>20</v>
      </c>
    </row>
    <row r="37" spans="1:29" ht="30" x14ac:dyDescent="0.25">
      <c r="A37" s="76" t="s">
        <v>135</v>
      </c>
      <c r="B37" s="41">
        <v>43025</v>
      </c>
      <c r="C37" s="33">
        <v>8</v>
      </c>
      <c r="D37" s="33" t="s">
        <v>5</v>
      </c>
      <c r="E37" s="33" t="s">
        <v>87</v>
      </c>
      <c r="F37" s="47" t="s">
        <v>86</v>
      </c>
      <c r="G37" s="33" t="s">
        <v>42</v>
      </c>
      <c r="H37" s="84">
        <f>_xlfn.IFNA(VLOOKUP(Output_Table[[#This Row],[Progress]],ProgressCalculation_List,6,FALSE),"")</f>
        <v>1.0000000000000002</v>
      </c>
      <c r="I37" s="85"/>
      <c r="J37" s="87">
        <v>43049</v>
      </c>
      <c r="K37" s="88">
        <v>7</v>
      </c>
      <c r="L37" s="90"/>
      <c r="M37" s="45">
        <v>43039.677083333336</v>
      </c>
      <c r="N37" s="33" t="s">
        <v>101</v>
      </c>
      <c r="O37" s="55">
        <f ca="1">IFERROR(INDIRECT(Output_Table[[#This Row],[Month plan begins]])-INDIRECT(Output_Table[[#This Row],[In stock Month begins]])-Output_Table[[#This Row],[Assembled]],0)</f>
        <v>-71</v>
      </c>
      <c r="P37" s="71">
        <f ca="1">IFERROR(SUBTOTAL(109,INDIRECT(Output_Table[[#This Row],[First cell]]):INDIRECT(Output_Table[[#This Row],[Last cell]])),0)</f>
        <v>71</v>
      </c>
      <c r="Q37" s="29"/>
      <c r="R37" s="29"/>
      <c r="S37" s="29" t="s">
        <v>88</v>
      </c>
      <c r="T37" s="61">
        <v>2017</v>
      </c>
      <c r="U37" s="57">
        <f>_xlfn.NUMBERVALUE(Output_Table[[#This Row],[Year]]&amp;TEXT(_xlfn.IFNA(VLOOKUP(Output_Table[[#This Row],[Output month]],OutupMonth_Table[],2,FALSE),""),"00"))</f>
        <v>201711</v>
      </c>
      <c r="V37" s="57">
        <f>_xlfn.NUMBERVALUE(YEAR(Output_Table[[#This Row],[Out by]])&amp; TEXT(MONTH(Output_Table[[#This Row],[Out by]]),"00"))</f>
        <v>201711</v>
      </c>
      <c r="W37" s="57" t="str">
        <f>ADDRESS(MATCH(Output_Table[[#This Row],[Year &amp; month output plan]],Output_Table[[#All],[Year &amp; month output plan]],0)+2,COLUMN(Output_Table[[#This Row],[Out qty]]),4,1)</f>
        <v>K34</v>
      </c>
      <c r="X37" s="57" t="str">
        <f>ADDRESS(MATCH(Output_Table[[#This Row],[Year &amp; month output plan]],Output_Table[[#All],[Year &amp; month output plan]],1)+2,COLUMN(Output_Table[[#This Row],[Out qty]]),4,1)</f>
        <v>K42</v>
      </c>
      <c r="Y37" s="57" t="str">
        <f>ADDRESS(MATCH(Output_Table[[#This Row],[Year &amp; month output plan]],Output_Table[[#All],[Year &amp; month output plan]],0)+2,COLUMN(Output_Table[[#This Row],[In stock (month begins)]]),4,1)</f>
        <v>Q34</v>
      </c>
      <c r="Z37" s="57" t="str">
        <f>ADDRESS(MATCH(Output_Table[[#This Row],[Year &amp; month output plan]],Output_Table[[#All],[Year &amp; month output plan]],0)+2,COLUMN(Output_Table[[#This Row],[Month plan]]),4,1)</f>
        <v>R34</v>
      </c>
      <c r="AA37" s="57">
        <f>IF(MATCH(Output_Table[[#This Row],[Year &amp; month output plan]],Output_Table[[#All],[Year &amp; month output plan]],0)+2=ROW(Output_Table[[#This Row],[Job]]),1,0)</f>
        <v>0</v>
      </c>
      <c r="AB37" s="57">
        <f>IF(MATCH(Output_Table[[#This Row],[Year &amp; month output plan]],Output_Table[[#All],[Year &amp; month output plan]],1)+2=ROW(Output_Table[[#This Row],[Job]]),1,0)</f>
        <v>0</v>
      </c>
      <c r="AC37" s="57">
        <f>IFERROR(VALUE(LEFT(Output_Table[[#This Row],[Progress]],2)),"")</f>
        <v>20</v>
      </c>
    </row>
    <row r="38" spans="1:29" ht="60" x14ac:dyDescent="0.25">
      <c r="A38" s="76" t="s">
        <v>136</v>
      </c>
      <c r="B38" s="41">
        <v>43035</v>
      </c>
      <c r="C38" s="33">
        <v>8</v>
      </c>
      <c r="D38" s="33" t="s">
        <v>5</v>
      </c>
      <c r="E38" s="33"/>
      <c r="F38" s="33"/>
      <c r="G38" s="33" t="s">
        <v>42</v>
      </c>
      <c r="H38" s="84">
        <f>_xlfn.IFNA(VLOOKUP(Output_Table[[#This Row],[Progress]],ProgressCalculation_List,6,FALSE),"")</f>
        <v>1.0000000000000002</v>
      </c>
      <c r="I38" s="85"/>
      <c r="J38" s="87">
        <v>43054</v>
      </c>
      <c r="K38" s="88">
        <v>8</v>
      </c>
      <c r="L38" s="90"/>
      <c r="M38" s="45">
        <v>43039.729166666664</v>
      </c>
      <c r="N38" s="42" t="s">
        <v>102</v>
      </c>
      <c r="O38" s="55">
        <f ca="1">IFERROR(INDIRECT(Output_Table[[#This Row],[Month plan begins]])-INDIRECT(Output_Table[[#This Row],[In stock Month begins]])-Output_Table[[#This Row],[Assembled]],0)</f>
        <v>-71</v>
      </c>
      <c r="P38" s="71">
        <f ca="1">IFERROR(SUBTOTAL(109,INDIRECT(Output_Table[[#This Row],[First cell]]):INDIRECT(Output_Table[[#This Row],[Last cell]])),0)</f>
        <v>71</v>
      </c>
      <c r="Q38" s="29"/>
      <c r="R38" s="29"/>
      <c r="S38" s="29" t="s">
        <v>88</v>
      </c>
      <c r="T38" s="61">
        <v>2017</v>
      </c>
      <c r="U38" s="57">
        <f>_xlfn.NUMBERVALUE(Output_Table[[#This Row],[Year]]&amp;TEXT(_xlfn.IFNA(VLOOKUP(Output_Table[[#This Row],[Output month]],OutupMonth_Table[],2,FALSE),""),"00"))</f>
        <v>201711</v>
      </c>
      <c r="V38" s="57">
        <f>_xlfn.NUMBERVALUE(YEAR(Output_Table[[#This Row],[Out by]])&amp; TEXT(MONTH(Output_Table[[#This Row],[Out by]]),"00"))</f>
        <v>201711</v>
      </c>
      <c r="W38" s="57" t="str">
        <f>ADDRESS(MATCH(Output_Table[[#This Row],[Year &amp; month output plan]],Output_Table[[#All],[Year &amp; month output plan]],0)+2,COLUMN(Output_Table[[#This Row],[Out qty]]),4,1)</f>
        <v>K34</v>
      </c>
      <c r="X38" s="57" t="str">
        <f>ADDRESS(MATCH(Output_Table[[#This Row],[Year &amp; month output plan]],Output_Table[[#All],[Year &amp; month output plan]],1)+2,COLUMN(Output_Table[[#This Row],[Out qty]]),4,1)</f>
        <v>K42</v>
      </c>
      <c r="Y38" s="57" t="str">
        <f>ADDRESS(MATCH(Output_Table[[#This Row],[Year &amp; month output plan]],Output_Table[[#All],[Year &amp; month output plan]],0)+2,COLUMN(Output_Table[[#This Row],[In stock (month begins)]]),4,1)</f>
        <v>Q34</v>
      </c>
      <c r="Z38" s="57" t="str">
        <f>ADDRESS(MATCH(Output_Table[[#This Row],[Year &amp; month output plan]],Output_Table[[#All],[Year &amp; month output plan]],0)+2,COLUMN(Output_Table[[#This Row],[Month plan]]),4,1)</f>
        <v>R34</v>
      </c>
      <c r="AA38" s="57">
        <f>IF(MATCH(Output_Table[[#This Row],[Year &amp; month output plan]],Output_Table[[#All],[Year &amp; month output plan]],0)+2=ROW(Output_Table[[#This Row],[Job]]),1,0)</f>
        <v>0</v>
      </c>
      <c r="AB38" s="57">
        <f>IF(MATCH(Output_Table[[#This Row],[Year &amp; month output plan]],Output_Table[[#All],[Year &amp; month output plan]],1)+2=ROW(Output_Table[[#This Row],[Job]]),1,0)</f>
        <v>0</v>
      </c>
      <c r="AC38" s="57">
        <f>IFERROR(VALUE(LEFT(Output_Table[[#This Row],[Progress]],2)),"")</f>
        <v>20</v>
      </c>
    </row>
    <row r="39" spans="1:29" x14ac:dyDescent="0.25">
      <c r="A39" s="76" t="s">
        <v>137</v>
      </c>
      <c r="B39" s="41">
        <v>43035</v>
      </c>
      <c r="C39" s="33">
        <v>8</v>
      </c>
      <c r="D39" s="33" t="s">
        <v>5</v>
      </c>
      <c r="E39" s="33"/>
      <c r="F39" s="33"/>
      <c r="G39" s="33" t="s">
        <v>42</v>
      </c>
      <c r="H39" s="84">
        <f>_xlfn.IFNA(VLOOKUP(Output_Table[[#This Row],[Progress]],ProgressCalculation_List,6,FALSE),"")</f>
        <v>1.0000000000000002</v>
      </c>
      <c r="I39" s="85"/>
      <c r="J39" s="87">
        <v>43063</v>
      </c>
      <c r="K39" s="88">
        <v>8</v>
      </c>
      <c r="L39" s="90"/>
      <c r="M39" s="33"/>
      <c r="N39" s="33"/>
      <c r="O39" s="55">
        <f ca="1">IFERROR(INDIRECT(Output_Table[[#This Row],[Month plan begins]])-INDIRECT(Output_Table[[#This Row],[In stock Month begins]])-Output_Table[[#This Row],[Assembled]],0)</f>
        <v>-71</v>
      </c>
      <c r="P39" s="71">
        <f ca="1">IFERROR(SUBTOTAL(109,INDIRECT(Output_Table[[#This Row],[First cell]]):INDIRECT(Output_Table[[#This Row],[Last cell]])),0)</f>
        <v>71</v>
      </c>
      <c r="Q39" s="29"/>
      <c r="R39" s="29"/>
      <c r="S39" s="29" t="s">
        <v>88</v>
      </c>
      <c r="T39" s="61">
        <v>2017</v>
      </c>
      <c r="U39" s="57">
        <f>_xlfn.NUMBERVALUE(Output_Table[[#This Row],[Year]]&amp;TEXT(_xlfn.IFNA(VLOOKUP(Output_Table[[#This Row],[Output month]],OutupMonth_Table[],2,FALSE),""),"00"))</f>
        <v>201711</v>
      </c>
      <c r="V39" s="57">
        <f>_xlfn.NUMBERVALUE(YEAR(Output_Table[[#This Row],[Out by]])&amp; TEXT(MONTH(Output_Table[[#This Row],[Out by]]),"00"))</f>
        <v>201711</v>
      </c>
      <c r="W39" s="57" t="str">
        <f>ADDRESS(MATCH(Output_Table[[#This Row],[Year &amp; month output plan]],Output_Table[[#All],[Year &amp; month output plan]],0)+2,COLUMN(Output_Table[[#This Row],[Out qty]]),4,1)</f>
        <v>K34</v>
      </c>
      <c r="X39" s="57" t="str">
        <f>ADDRESS(MATCH(Output_Table[[#This Row],[Year &amp; month output plan]],Output_Table[[#All],[Year &amp; month output plan]],1)+2,COLUMN(Output_Table[[#This Row],[Out qty]]),4,1)</f>
        <v>K42</v>
      </c>
      <c r="Y39" s="57" t="str">
        <f>ADDRESS(MATCH(Output_Table[[#This Row],[Year &amp; month output plan]],Output_Table[[#All],[Year &amp; month output plan]],0)+2,COLUMN(Output_Table[[#This Row],[In stock (month begins)]]),4,1)</f>
        <v>Q34</v>
      </c>
      <c r="Z39" s="57" t="str">
        <f>ADDRESS(MATCH(Output_Table[[#This Row],[Year &amp; month output plan]],Output_Table[[#All],[Year &amp; month output plan]],0)+2,COLUMN(Output_Table[[#This Row],[Month plan]]),4,1)</f>
        <v>R34</v>
      </c>
      <c r="AA39" s="57">
        <f>IF(MATCH(Output_Table[[#This Row],[Year &amp; month output plan]],Output_Table[[#All],[Year &amp; month output plan]],0)+2=ROW(Output_Table[[#This Row],[Job]]),1,0)</f>
        <v>0</v>
      </c>
      <c r="AB39" s="57">
        <f>IF(MATCH(Output_Table[[#This Row],[Year &amp; month output plan]],Output_Table[[#All],[Year &amp; month output plan]],1)+2=ROW(Output_Table[[#This Row],[Job]]),1,0)</f>
        <v>0</v>
      </c>
      <c r="AC39" s="57">
        <f>IFERROR(VALUE(LEFT(Output_Table[[#This Row],[Progress]],2)),"")</f>
        <v>20</v>
      </c>
    </row>
    <row r="40" spans="1:29" x14ac:dyDescent="0.25">
      <c r="A40" s="76" t="s">
        <v>138</v>
      </c>
      <c r="B40" s="41">
        <v>43039</v>
      </c>
      <c r="C40" s="33">
        <v>8</v>
      </c>
      <c r="D40" s="33" t="s">
        <v>5</v>
      </c>
      <c r="E40" s="33"/>
      <c r="F40" s="33"/>
      <c r="G40" s="33" t="s">
        <v>42</v>
      </c>
      <c r="H40" s="84">
        <f>_xlfn.IFNA(VLOOKUP(Output_Table[[#This Row],[Progress]],ProgressCalculation_List,6,FALSE),"")</f>
        <v>1.0000000000000002</v>
      </c>
      <c r="I40" s="85"/>
      <c r="J40" s="87">
        <v>43063</v>
      </c>
      <c r="K40" s="88">
        <v>8</v>
      </c>
      <c r="L40" s="90"/>
      <c r="M40" s="33"/>
      <c r="N40" s="33"/>
      <c r="O40" s="55">
        <f ca="1">IFERROR(INDIRECT(Output_Table[[#This Row],[Month plan begins]])-INDIRECT(Output_Table[[#This Row],[In stock Month begins]])-Output_Table[[#This Row],[Assembled]],0)</f>
        <v>-71</v>
      </c>
      <c r="P40" s="71">
        <f ca="1">IFERROR(SUBTOTAL(109,INDIRECT(Output_Table[[#This Row],[First cell]]):INDIRECT(Output_Table[[#This Row],[Last cell]])),0)</f>
        <v>71</v>
      </c>
      <c r="Q40" s="29"/>
      <c r="R40" s="29"/>
      <c r="S40" s="29" t="s">
        <v>88</v>
      </c>
      <c r="T40" s="61">
        <v>2017</v>
      </c>
      <c r="U40" s="57">
        <f>_xlfn.NUMBERVALUE(Output_Table[[#This Row],[Year]]&amp;TEXT(_xlfn.IFNA(VLOOKUP(Output_Table[[#This Row],[Output month]],OutupMonth_Table[],2,FALSE),""),"00"))</f>
        <v>201711</v>
      </c>
      <c r="V40" s="57">
        <f>_xlfn.NUMBERVALUE(YEAR(Output_Table[[#This Row],[Out by]])&amp; TEXT(MONTH(Output_Table[[#This Row],[Out by]]),"00"))</f>
        <v>201711</v>
      </c>
      <c r="W40" s="57" t="str">
        <f>ADDRESS(MATCH(Output_Table[[#This Row],[Year &amp; month output plan]],Output_Table[[#All],[Year &amp; month output plan]],0)+2,COLUMN(Output_Table[[#This Row],[Out qty]]),4,1)</f>
        <v>K34</v>
      </c>
      <c r="X40" s="57" t="str">
        <f>ADDRESS(MATCH(Output_Table[[#This Row],[Year &amp; month output plan]],Output_Table[[#All],[Year &amp; month output plan]],1)+2,COLUMN(Output_Table[[#This Row],[Out qty]]),4,1)</f>
        <v>K42</v>
      </c>
      <c r="Y40" s="57" t="str">
        <f>ADDRESS(MATCH(Output_Table[[#This Row],[Year &amp; month output plan]],Output_Table[[#All],[Year &amp; month output plan]],0)+2,COLUMN(Output_Table[[#This Row],[In stock (month begins)]]),4,1)</f>
        <v>Q34</v>
      </c>
      <c r="Z40" s="57" t="str">
        <f>ADDRESS(MATCH(Output_Table[[#This Row],[Year &amp; month output plan]],Output_Table[[#All],[Year &amp; month output plan]],0)+2,COLUMN(Output_Table[[#This Row],[Month plan]]),4,1)</f>
        <v>R34</v>
      </c>
      <c r="AA40" s="57">
        <f>IF(MATCH(Output_Table[[#This Row],[Year &amp; month output plan]],Output_Table[[#All],[Year &amp; month output plan]],0)+2=ROW(Output_Table[[#This Row],[Job]]),1,0)</f>
        <v>0</v>
      </c>
      <c r="AB40" s="57">
        <f>IF(MATCH(Output_Table[[#This Row],[Year &amp; month output plan]],Output_Table[[#All],[Year &amp; month output plan]],1)+2=ROW(Output_Table[[#This Row],[Job]]),1,0)</f>
        <v>0</v>
      </c>
      <c r="AC40" s="57">
        <f>IFERROR(VALUE(LEFT(Output_Table[[#This Row],[Progress]],2)),"")</f>
        <v>20</v>
      </c>
    </row>
    <row r="41" spans="1:29" x14ac:dyDescent="0.25">
      <c r="A41" s="76" t="s">
        <v>139</v>
      </c>
      <c r="B41" s="41">
        <v>43039</v>
      </c>
      <c r="C41" s="33">
        <v>8</v>
      </c>
      <c r="D41" s="33" t="s">
        <v>5</v>
      </c>
      <c r="E41" s="33"/>
      <c r="F41" s="33"/>
      <c r="G41" s="33" t="s">
        <v>42</v>
      </c>
      <c r="H41" s="84">
        <f>_xlfn.IFNA(VLOOKUP(Output_Table[[#This Row],[Progress]],ProgressCalculation_List,6,FALSE),"")</f>
        <v>1.0000000000000002</v>
      </c>
      <c r="I41" s="85"/>
      <c r="J41" s="87">
        <v>43069</v>
      </c>
      <c r="K41" s="88">
        <v>8</v>
      </c>
      <c r="L41" s="90"/>
      <c r="M41" s="33"/>
      <c r="N41" s="33"/>
      <c r="O41" s="55">
        <f ca="1">IFERROR(INDIRECT(Output_Table[[#This Row],[Month plan begins]])-INDIRECT(Output_Table[[#This Row],[In stock Month begins]])-Output_Table[[#This Row],[Assembled]],0)</f>
        <v>-71</v>
      </c>
      <c r="P41" s="71">
        <f ca="1">IFERROR(SUBTOTAL(109,INDIRECT(Output_Table[[#This Row],[First cell]]):INDIRECT(Output_Table[[#This Row],[Last cell]])),0)</f>
        <v>71</v>
      </c>
      <c r="Q41" s="29"/>
      <c r="R41" s="29"/>
      <c r="S41" s="29" t="s">
        <v>88</v>
      </c>
      <c r="T41" s="61">
        <v>2017</v>
      </c>
      <c r="U41" s="57">
        <f>_xlfn.NUMBERVALUE(Output_Table[[#This Row],[Year]]&amp;TEXT(_xlfn.IFNA(VLOOKUP(Output_Table[[#This Row],[Output month]],OutupMonth_Table[],2,FALSE),""),"00"))</f>
        <v>201711</v>
      </c>
      <c r="V41" s="57">
        <f>_xlfn.NUMBERVALUE(YEAR(Output_Table[[#This Row],[Out by]])&amp; TEXT(MONTH(Output_Table[[#This Row],[Out by]]),"00"))</f>
        <v>201711</v>
      </c>
      <c r="W41" s="57" t="str">
        <f>ADDRESS(MATCH(Output_Table[[#This Row],[Year &amp; month output plan]],Output_Table[[#All],[Year &amp; month output plan]],0)+2,COLUMN(Output_Table[[#This Row],[Out qty]]),4,1)</f>
        <v>K34</v>
      </c>
      <c r="X41" s="57" t="str">
        <f>ADDRESS(MATCH(Output_Table[[#This Row],[Year &amp; month output plan]],Output_Table[[#All],[Year &amp; month output plan]],1)+2,COLUMN(Output_Table[[#This Row],[Out qty]]),4,1)</f>
        <v>K42</v>
      </c>
      <c r="Y41" s="57" t="str">
        <f>ADDRESS(MATCH(Output_Table[[#This Row],[Year &amp; month output plan]],Output_Table[[#All],[Year &amp; month output plan]],0)+2,COLUMN(Output_Table[[#This Row],[In stock (month begins)]]),4,1)</f>
        <v>Q34</v>
      </c>
      <c r="Z41" s="57" t="str">
        <f>ADDRESS(MATCH(Output_Table[[#This Row],[Year &amp; month output plan]],Output_Table[[#All],[Year &amp; month output plan]],0)+2,COLUMN(Output_Table[[#This Row],[Month plan]]),4,1)</f>
        <v>R34</v>
      </c>
      <c r="AA41" s="57">
        <f>IF(MATCH(Output_Table[[#This Row],[Year &amp; month output plan]],Output_Table[[#All],[Year &amp; month output plan]],0)+2=ROW(Output_Table[[#This Row],[Job]]),1,0)</f>
        <v>0</v>
      </c>
      <c r="AB41" s="57">
        <f>IF(MATCH(Output_Table[[#This Row],[Year &amp; month output plan]],Output_Table[[#All],[Year &amp; month output plan]],1)+2=ROW(Output_Table[[#This Row],[Job]]),1,0)</f>
        <v>0</v>
      </c>
      <c r="AC41" s="57">
        <f>IFERROR(VALUE(LEFT(Output_Table[[#This Row],[Progress]],2)),"")</f>
        <v>20</v>
      </c>
    </row>
    <row r="42" spans="1:29" x14ac:dyDescent="0.25">
      <c r="A42" s="76" t="s">
        <v>140</v>
      </c>
      <c r="B42" s="41">
        <v>43039</v>
      </c>
      <c r="C42" s="33">
        <v>8</v>
      </c>
      <c r="D42" s="33" t="s">
        <v>5</v>
      </c>
      <c r="E42" s="33"/>
      <c r="F42" s="33"/>
      <c r="G42" s="33" t="s">
        <v>42</v>
      </c>
      <c r="H42" s="84">
        <f>_xlfn.IFNA(VLOOKUP(Output_Table[[#This Row],[Progress]],ProgressCalculation_List,6,FALSE),"")</f>
        <v>1.0000000000000002</v>
      </c>
      <c r="I42" s="85"/>
      <c r="J42" s="87">
        <v>43069</v>
      </c>
      <c r="K42" s="88">
        <v>8</v>
      </c>
      <c r="L42" s="90"/>
      <c r="M42" s="33"/>
      <c r="N42" s="33"/>
      <c r="O42" s="55">
        <f ca="1">IFERROR(INDIRECT(Output_Table[[#This Row],[Month plan begins]])-INDIRECT(Output_Table[[#This Row],[In stock Month begins]])-Output_Table[[#This Row],[Assembled]],0)</f>
        <v>-71</v>
      </c>
      <c r="P42" s="71">
        <f ca="1">IFERROR(SUBTOTAL(109,INDIRECT(Output_Table[[#This Row],[First cell]]):INDIRECT(Output_Table[[#This Row],[Last cell]])),0)</f>
        <v>71</v>
      </c>
      <c r="Q42" s="29"/>
      <c r="R42" s="29"/>
      <c r="S42" s="29" t="s">
        <v>88</v>
      </c>
      <c r="T42" s="61">
        <v>2017</v>
      </c>
      <c r="U42" s="57">
        <f>_xlfn.NUMBERVALUE(Output_Table[[#This Row],[Year]]&amp;TEXT(_xlfn.IFNA(VLOOKUP(Output_Table[[#This Row],[Output month]],OutupMonth_Table[],2,FALSE),""),"00"))</f>
        <v>201711</v>
      </c>
      <c r="V42" s="57">
        <f>_xlfn.NUMBERVALUE(YEAR(Output_Table[[#This Row],[Out by]])&amp; TEXT(MONTH(Output_Table[[#This Row],[Out by]]),"00"))</f>
        <v>201711</v>
      </c>
      <c r="W42" s="57" t="str">
        <f>ADDRESS(MATCH(Output_Table[[#This Row],[Year &amp; month output plan]],Output_Table[[#All],[Year &amp; month output plan]],0)+2,COLUMN(Output_Table[[#This Row],[Out qty]]),4,1)</f>
        <v>K34</v>
      </c>
      <c r="X42" s="57" t="str">
        <f>ADDRESS(MATCH(Output_Table[[#This Row],[Year &amp; month output plan]],Output_Table[[#All],[Year &amp; month output plan]],1)+2,COLUMN(Output_Table[[#This Row],[Out qty]]),4,1)</f>
        <v>K42</v>
      </c>
      <c r="Y42" s="57" t="str">
        <f>ADDRESS(MATCH(Output_Table[[#This Row],[Year &amp; month output plan]],Output_Table[[#All],[Year &amp; month output plan]],0)+2,COLUMN(Output_Table[[#This Row],[In stock (month begins)]]),4,1)</f>
        <v>Q34</v>
      </c>
      <c r="Z42" s="57" t="str">
        <f>ADDRESS(MATCH(Output_Table[[#This Row],[Year &amp; month output plan]],Output_Table[[#All],[Year &amp; month output plan]],0)+2,COLUMN(Output_Table[[#This Row],[Month plan]]),4,1)</f>
        <v>R34</v>
      </c>
      <c r="AA42" s="57">
        <f>IF(MATCH(Output_Table[[#This Row],[Year &amp; month output plan]],Output_Table[[#All],[Year &amp; month output plan]],0)+2=ROW(Output_Table[[#This Row],[Job]]),1,0)</f>
        <v>0</v>
      </c>
      <c r="AB42" s="57">
        <f>IF(MATCH(Output_Table[[#This Row],[Year &amp; month output plan]],Output_Table[[#All],[Year &amp; month output plan]],1)+2=ROW(Output_Table[[#This Row],[Job]]),1,0)</f>
        <v>1</v>
      </c>
      <c r="AC42" s="57">
        <f>IFERROR(VALUE(LEFT(Output_Table[[#This Row],[Progress]],2)),"")</f>
        <v>20</v>
      </c>
    </row>
    <row r="43" spans="1:29" ht="45" x14ac:dyDescent="0.25">
      <c r="A43" s="76" t="s">
        <v>141</v>
      </c>
      <c r="B43" s="41">
        <v>43039</v>
      </c>
      <c r="C43" s="33">
        <v>8</v>
      </c>
      <c r="D43" s="33" t="s">
        <v>5</v>
      </c>
      <c r="E43" s="33"/>
      <c r="F43" s="33"/>
      <c r="G43" s="33" t="s">
        <v>42</v>
      </c>
      <c r="H43" s="84">
        <f>_xlfn.IFNA(VLOOKUP(Output_Table[[#This Row],[Progress]],ProgressCalculation_List,6,FALSE),"")</f>
        <v>1.0000000000000002</v>
      </c>
      <c r="I43" s="85"/>
      <c r="J43" s="87">
        <v>43084</v>
      </c>
      <c r="K43" s="88">
        <v>7</v>
      </c>
      <c r="L43" s="36" t="s">
        <v>104</v>
      </c>
      <c r="M43" s="45">
        <v>43055.458333333336</v>
      </c>
      <c r="N43" s="33"/>
      <c r="O43" s="55">
        <f ca="1">IFERROR(INDIRECT(Output_Table[[#This Row],[Month plan begins]])-INDIRECT(Output_Table[[#This Row],[In stock Month begins]])-Output_Table[[#This Row],[Assembled]],0)</f>
        <v>-39</v>
      </c>
      <c r="P43" s="71">
        <f ca="1">IFERROR(SUBTOTAL(109,INDIRECT(Output_Table[[#This Row],[First cell]]):INDIRECT(Output_Table[[#This Row],[Last cell]])),0)</f>
        <v>39</v>
      </c>
      <c r="Q43" s="29">
        <v>0</v>
      </c>
      <c r="R43" s="29">
        <v>0</v>
      </c>
      <c r="S43" s="29" t="s">
        <v>99</v>
      </c>
      <c r="T43" s="61">
        <v>2017</v>
      </c>
      <c r="U43" s="57">
        <f>_xlfn.NUMBERVALUE(Output_Table[[#This Row],[Year]]&amp;TEXT(_xlfn.IFNA(VLOOKUP(Output_Table[[#This Row],[Output month]],OutupMonth_Table[],2,FALSE),""),"00"))</f>
        <v>201712</v>
      </c>
      <c r="V43" s="57">
        <f>_xlfn.NUMBERVALUE(YEAR(Output_Table[[#This Row],[Out by]])&amp; TEXT(MONTH(Output_Table[[#This Row],[Out by]]),"00"))</f>
        <v>201712</v>
      </c>
      <c r="W43" s="57" t="str">
        <f>ADDRESS(MATCH(Output_Table[[#This Row],[Year &amp; month output plan]],Output_Table[[#All],[Year &amp; month output plan]],0)+2,COLUMN(Output_Table[[#This Row],[Out qty]]),4,1)</f>
        <v>K43</v>
      </c>
      <c r="X43" s="57" t="str">
        <f>ADDRESS(MATCH(Output_Table[[#This Row],[Year &amp; month output plan]],Output_Table[[#All],[Year &amp; month output plan]],1)+2,COLUMN(Output_Table[[#This Row],[Out qty]]),4,1)</f>
        <v>K47</v>
      </c>
      <c r="Y43" s="57" t="str">
        <f>ADDRESS(MATCH(Output_Table[[#This Row],[Year &amp; month output plan]],Output_Table[[#All],[Year &amp; month output plan]],0)+2,COLUMN(Output_Table[[#This Row],[In stock (month begins)]]),4,1)</f>
        <v>Q43</v>
      </c>
      <c r="Z43" s="57" t="str">
        <f>ADDRESS(MATCH(Output_Table[[#This Row],[Year &amp; month output plan]],Output_Table[[#All],[Year &amp; month output plan]],0)+2,COLUMN(Output_Table[[#This Row],[Month plan]]),4,1)</f>
        <v>R43</v>
      </c>
      <c r="AA43" s="57">
        <f>IF(MATCH(Output_Table[[#This Row],[Year &amp; month output plan]],Output_Table[[#All],[Year &amp; month output plan]],0)+2=ROW(Output_Table[[#This Row],[Job]]),1,0)</f>
        <v>1</v>
      </c>
      <c r="AB43" s="57">
        <f>IF(MATCH(Output_Table[[#This Row],[Year &amp; month output plan]],Output_Table[[#All],[Year &amp; month output plan]],1)+2=ROW(Output_Table[[#This Row],[Job]]),1,0)</f>
        <v>0</v>
      </c>
      <c r="AC43" s="57">
        <f>IFERROR(VALUE(LEFT(Output_Table[[#This Row],[Progress]],2)),"")</f>
        <v>20</v>
      </c>
    </row>
    <row r="44" spans="1:29" ht="16.5" customHeight="1" x14ac:dyDescent="0.25">
      <c r="A44" s="76" t="s">
        <v>142</v>
      </c>
      <c r="B44" s="41">
        <v>43054</v>
      </c>
      <c r="C44" s="33">
        <v>8</v>
      </c>
      <c r="D44" s="33" t="s">
        <v>5</v>
      </c>
      <c r="E44" s="33"/>
      <c r="F44" s="33"/>
      <c r="G44" s="33" t="s">
        <v>42</v>
      </c>
      <c r="H44" s="84">
        <f>_xlfn.IFNA(VLOOKUP(Output_Table[[#This Row],[Progress]],ProgressCalculation_List,6,FALSE),"")</f>
        <v>1.0000000000000002</v>
      </c>
      <c r="I44" s="85"/>
      <c r="J44" s="87">
        <v>43084</v>
      </c>
      <c r="K44" s="88">
        <v>8</v>
      </c>
      <c r="L44" s="90"/>
      <c r="M44" s="45">
        <v>43060.486111111109</v>
      </c>
      <c r="N44" s="42" t="s">
        <v>147</v>
      </c>
      <c r="O44" s="55">
        <f ca="1">IFERROR(INDIRECT(Output_Table[[#This Row],[Month plan begins]])-INDIRECT(Output_Table[[#This Row],[In stock Month begins]])-Output_Table[[#This Row],[Assembled]],0)</f>
        <v>-39</v>
      </c>
      <c r="P44" s="71">
        <f ca="1">IFERROR(SUBTOTAL(109,INDIRECT(Output_Table[[#This Row],[First cell]]):INDIRECT(Output_Table[[#This Row],[Last cell]])),0)</f>
        <v>39</v>
      </c>
      <c r="Q44" s="29"/>
      <c r="R44" s="29"/>
      <c r="S44" s="29" t="s">
        <v>99</v>
      </c>
      <c r="T44" s="61">
        <v>2017</v>
      </c>
      <c r="U44" s="57">
        <f>_xlfn.NUMBERVALUE(Output_Table[[#This Row],[Year]]&amp;TEXT(_xlfn.IFNA(VLOOKUP(Output_Table[[#This Row],[Output month]],OutupMonth_Table[],2,FALSE),""),"00"))</f>
        <v>201712</v>
      </c>
      <c r="V44" s="57">
        <f>_xlfn.NUMBERVALUE(YEAR(Output_Table[[#This Row],[Out by]])&amp; TEXT(MONTH(Output_Table[[#This Row],[Out by]]),"00"))</f>
        <v>201712</v>
      </c>
      <c r="W44" s="57" t="str">
        <f>ADDRESS(MATCH(Output_Table[[#This Row],[Year &amp; month output plan]],Output_Table[[#All],[Year &amp; month output plan]],0)+2,COLUMN(Output_Table[[#This Row],[Out qty]]),4,1)</f>
        <v>K43</v>
      </c>
      <c r="X44" s="57" t="str">
        <f>ADDRESS(MATCH(Output_Table[[#This Row],[Year &amp; month output plan]],Output_Table[[#All],[Year &amp; month output plan]],1)+2,COLUMN(Output_Table[[#This Row],[Out qty]]),4,1)</f>
        <v>K47</v>
      </c>
      <c r="Y44" s="57" t="str">
        <f>ADDRESS(MATCH(Output_Table[[#This Row],[Year &amp; month output plan]],Output_Table[[#All],[Year &amp; month output plan]],0)+2,COLUMN(Output_Table[[#This Row],[In stock (month begins)]]),4,1)</f>
        <v>Q43</v>
      </c>
      <c r="Z44" s="57" t="str">
        <f>ADDRESS(MATCH(Output_Table[[#This Row],[Year &amp; month output plan]],Output_Table[[#All],[Year &amp; month output plan]],0)+2,COLUMN(Output_Table[[#This Row],[Month plan]]),4,1)</f>
        <v>R43</v>
      </c>
      <c r="AA44" s="57">
        <f>IF(MATCH(Output_Table[[#This Row],[Year &amp; month output plan]],Output_Table[[#All],[Year &amp; month output plan]],0)+2=ROW(Output_Table[[#This Row],[Job]]),1,0)</f>
        <v>0</v>
      </c>
      <c r="AB44" s="57">
        <f>IF(MATCH(Output_Table[[#This Row],[Year &amp; month output plan]],Output_Table[[#All],[Year &amp; month output plan]],1)+2=ROW(Output_Table[[#This Row],[Job]]),1,0)</f>
        <v>0</v>
      </c>
      <c r="AC44" s="57">
        <f>IFERROR(VALUE(LEFT(Output_Table[[#This Row],[Progress]],2)),"")</f>
        <v>20</v>
      </c>
    </row>
    <row r="45" spans="1:29" ht="45" x14ac:dyDescent="0.25">
      <c r="A45" s="76" t="s">
        <v>143</v>
      </c>
      <c r="B45" s="41">
        <v>43054</v>
      </c>
      <c r="C45" s="33">
        <v>8</v>
      </c>
      <c r="D45" s="33" t="s">
        <v>5</v>
      </c>
      <c r="E45" s="33"/>
      <c r="F45" s="33"/>
      <c r="G45" s="33" t="s">
        <v>42</v>
      </c>
      <c r="H45" s="84">
        <f>_xlfn.IFNA(VLOOKUP(Output_Table[[#This Row],[Progress]],ProgressCalculation_List,6,FALSE),"")</f>
        <v>1.0000000000000002</v>
      </c>
      <c r="I45" s="85"/>
      <c r="J45" s="87">
        <v>43091</v>
      </c>
      <c r="K45" s="88">
        <v>8</v>
      </c>
      <c r="L45" s="90"/>
      <c r="M45" s="45">
        <v>43073.666666666664</v>
      </c>
      <c r="N45" s="42" t="s">
        <v>155</v>
      </c>
      <c r="O45" s="55">
        <f ca="1">IFERROR(INDIRECT(Output_Table[[#This Row],[Month plan begins]])-INDIRECT(Output_Table[[#This Row],[In stock Month begins]])-Output_Table[[#This Row],[Assembled]],0)</f>
        <v>-39</v>
      </c>
      <c r="P45" s="71">
        <f ca="1">IFERROR(SUBTOTAL(109,INDIRECT(Output_Table[[#This Row],[First cell]]):INDIRECT(Output_Table[[#This Row],[Last cell]])),0)</f>
        <v>39</v>
      </c>
      <c r="Q45" s="29"/>
      <c r="R45" s="29"/>
      <c r="S45" s="29" t="s">
        <v>99</v>
      </c>
      <c r="T45" s="61">
        <v>2017</v>
      </c>
      <c r="U45" s="57">
        <f>_xlfn.NUMBERVALUE(Output_Table[[#This Row],[Year]]&amp;TEXT(_xlfn.IFNA(VLOOKUP(Output_Table[[#This Row],[Output month]],OutupMonth_Table[],2,FALSE),""),"00"))</f>
        <v>201712</v>
      </c>
      <c r="V45" s="57">
        <f>_xlfn.NUMBERVALUE(YEAR(Output_Table[[#This Row],[Out by]])&amp; TEXT(MONTH(Output_Table[[#This Row],[Out by]]),"00"))</f>
        <v>201712</v>
      </c>
      <c r="W45" s="57" t="str">
        <f>ADDRESS(MATCH(Output_Table[[#This Row],[Year &amp; month output plan]],Output_Table[[#All],[Year &amp; month output plan]],0)+2,COLUMN(Output_Table[[#This Row],[Out qty]]),4,1)</f>
        <v>K43</v>
      </c>
      <c r="X45" s="57" t="str">
        <f>ADDRESS(MATCH(Output_Table[[#This Row],[Year &amp; month output plan]],Output_Table[[#All],[Year &amp; month output plan]],1)+2,COLUMN(Output_Table[[#This Row],[Out qty]]),4,1)</f>
        <v>K47</v>
      </c>
      <c r="Y45" s="57" t="str">
        <f>ADDRESS(MATCH(Output_Table[[#This Row],[Year &amp; month output plan]],Output_Table[[#All],[Year &amp; month output plan]],0)+2,COLUMN(Output_Table[[#This Row],[In stock (month begins)]]),4,1)</f>
        <v>Q43</v>
      </c>
      <c r="Z45" s="57" t="str">
        <f>ADDRESS(MATCH(Output_Table[[#This Row],[Year &amp; month output plan]],Output_Table[[#All],[Year &amp; month output plan]],0)+2,COLUMN(Output_Table[[#This Row],[Month plan]]),4,1)</f>
        <v>R43</v>
      </c>
      <c r="AA45" s="57">
        <f>IF(MATCH(Output_Table[[#This Row],[Year &amp; month output plan]],Output_Table[[#All],[Year &amp; month output plan]],0)+2=ROW(Output_Table[[#This Row],[Job]]),1,0)</f>
        <v>0</v>
      </c>
      <c r="AB45" s="57">
        <f>IF(MATCH(Output_Table[[#This Row],[Year &amp; month output plan]],Output_Table[[#All],[Year &amp; month output plan]],1)+2=ROW(Output_Table[[#This Row],[Job]]),1,0)</f>
        <v>0</v>
      </c>
      <c r="AC45" s="57">
        <f>IFERROR(VALUE(LEFT(Output_Table[[#This Row],[Progress]],2)),"")</f>
        <v>20</v>
      </c>
    </row>
    <row r="46" spans="1:29" ht="45" x14ac:dyDescent="0.25">
      <c r="A46" s="76" t="s">
        <v>144</v>
      </c>
      <c r="B46" s="41">
        <v>43054</v>
      </c>
      <c r="C46" s="33">
        <v>8</v>
      </c>
      <c r="D46" s="33" t="s">
        <v>5</v>
      </c>
      <c r="E46" s="33"/>
      <c r="F46" s="33"/>
      <c r="G46" s="33" t="s">
        <v>42</v>
      </c>
      <c r="H46" s="84">
        <f>_xlfn.IFNA(VLOOKUP(Output_Table[[#This Row],[Progress]],ProgressCalculation_List,6,FALSE),"")</f>
        <v>1.0000000000000002</v>
      </c>
      <c r="I46" s="85"/>
      <c r="J46" s="87">
        <v>43091</v>
      </c>
      <c r="K46" s="88">
        <v>8</v>
      </c>
      <c r="L46" s="90"/>
      <c r="M46" s="45">
        <v>43073.666666666664</v>
      </c>
      <c r="N46" s="42" t="s">
        <v>155</v>
      </c>
      <c r="O46" s="55">
        <f ca="1">IFERROR(INDIRECT(Output_Table[[#This Row],[Month plan begins]])-INDIRECT(Output_Table[[#This Row],[In stock Month begins]])-Output_Table[[#This Row],[Assembled]],0)</f>
        <v>-39</v>
      </c>
      <c r="P46" s="71">
        <f ca="1">IFERROR(SUBTOTAL(109,INDIRECT(Output_Table[[#This Row],[First cell]]):INDIRECT(Output_Table[[#This Row],[Last cell]])),0)</f>
        <v>39</v>
      </c>
      <c r="Q46" s="29"/>
      <c r="R46" s="29"/>
      <c r="S46" s="29" t="s">
        <v>99</v>
      </c>
      <c r="T46" s="61">
        <v>2017</v>
      </c>
      <c r="U46" s="57">
        <f>_xlfn.NUMBERVALUE(Output_Table[[#This Row],[Year]]&amp;TEXT(_xlfn.IFNA(VLOOKUP(Output_Table[[#This Row],[Output month]],OutupMonth_Table[],2,FALSE),""),"00"))</f>
        <v>201712</v>
      </c>
      <c r="V46" s="57">
        <f>_xlfn.NUMBERVALUE(YEAR(Output_Table[[#This Row],[Out by]])&amp; TEXT(MONTH(Output_Table[[#This Row],[Out by]]),"00"))</f>
        <v>201712</v>
      </c>
      <c r="W46" s="57" t="str">
        <f>ADDRESS(MATCH(Output_Table[[#This Row],[Year &amp; month output plan]],Output_Table[[#All],[Year &amp; month output plan]],0)+2,COLUMN(Output_Table[[#This Row],[Out qty]]),4,1)</f>
        <v>K43</v>
      </c>
      <c r="X46" s="57" t="str">
        <f>ADDRESS(MATCH(Output_Table[[#This Row],[Year &amp; month output plan]],Output_Table[[#All],[Year &amp; month output plan]],1)+2,COLUMN(Output_Table[[#This Row],[Out qty]]),4,1)</f>
        <v>K47</v>
      </c>
      <c r="Y46" s="57" t="str">
        <f>ADDRESS(MATCH(Output_Table[[#This Row],[Year &amp; month output plan]],Output_Table[[#All],[Year &amp; month output plan]],0)+2,COLUMN(Output_Table[[#This Row],[In stock (month begins)]]),4,1)</f>
        <v>Q43</v>
      </c>
      <c r="Z46" s="57" t="str">
        <f>ADDRESS(MATCH(Output_Table[[#This Row],[Year &amp; month output plan]],Output_Table[[#All],[Year &amp; month output plan]],0)+2,COLUMN(Output_Table[[#This Row],[Month plan]]),4,1)</f>
        <v>R43</v>
      </c>
      <c r="AA46" s="57">
        <f>IF(MATCH(Output_Table[[#This Row],[Year &amp; month output plan]],Output_Table[[#All],[Year &amp; month output plan]],0)+2=ROW(Output_Table[[#This Row],[Job]]),1,0)</f>
        <v>0</v>
      </c>
      <c r="AB46" s="57">
        <f>IF(MATCH(Output_Table[[#This Row],[Year &amp; month output plan]],Output_Table[[#All],[Year &amp; month output plan]],1)+2=ROW(Output_Table[[#This Row],[Job]]),1,0)</f>
        <v>0</v>
      </c>
      <c r="AC46" s="57">
        <f>IFERROR(VALUE(LEFT(Output_Table[[#This Row],[Progress]],2)),"")</f>
        <v>20</v>
      </c>
    </row>
    <row r="47" spans="1:29" ht="30" x14ac:dyDescent="0.25">
      <c r="A47" s="76" t="s">
        <v>145</v>
      </c>
      <c r="B47" s="41">
        <v>43060</v>
      </c>
      <c r="C47" s="33">
        <v>8</v>
      </c>
      <c r="D47" s="33" t="s">
        <v>5</v>
      </c>
      <c r="E47" s="33"/>
      <c r="F47" s="33"/>
      <c r="G47" s="33" t="s">
        <v>42</v>
      </c>
      <c r="H47" s="84">
        <f>_xlfn.IFNA(VLOOKUP(Output_Table[[#This Row],[Progress]],ProgressCalculation_List,6,FALSE),"")</f>
        <v>1.0000000000000002</v>
      </c>
      <c r="I47" s="85"/>
      <c r="J47" s="87">
        <v>43091</v>
      </c>
      <c r="K47" s="88">
        <v>8</v>
      </c>
      <c r="L47" s="90"/>
      <c r="M47" s="45">
        <v>43075.520833333336</v>
      </c>
      <c r="N47" s="42" t="s">
        <v>156</v>
      </c>
      <c r="O47" s="55">
        <f ca="1">IFERROR(INDIRECT(Output_Table[[#This Row],[Month plan begins]])-INDIRECT(Output_Table[[#This Row],[In stock Month begins]])-Output_Table[[#This Row],[Assembled]],0)</f>
        <v>-39</v>
      </c>
      <c r="P47" s="71">
        <f ca="1">IFERROR(SUBTOTAL(109,INDIRECT(Output_Table[[#This Row],[First cell]]):INDIRECT(Output_Table[[#This Row],[Last cell]])),0)</f>
        <v>39</v>
      </c>
      <c r="Q47" s="29"/>
      <c r="R47" s="29"/>
      <c r="S47" s="29" t="s">
        <v>99</v>
      </c>
      <c r="T47" s="61">
        <v>2017</v>
      </c>
      <c r="U47" s="57">
        <f>_xlfn.NUMBERVALUE(Output_Table[[#This Row],[Year]]&amp;TEXT(_xlfn.IFNA(VLOOKUP(Output_Table[[#This Row],[Output month]],OutupMonth_Table[],2,FALSE),""),"00"))</f>
        <v>201712</v>
      </c>
      <c r="V47" s="57">
        <f>_xlfn.NUMBERVALUE(YEAR(Output_Table[[#This Row],[Out by]])&amp; TEXT(MONTH(Output_Table[[#This Row],[Out by]]),"00"))</f>
        <v>201712</v>
      </c>
      <c r="W47" s="57" t="str">
        <f>ADDRESS(MATCH(Output_Table[[#This Row],[Year &amp; month output plan]],Output_Table[[#All],[Year &amp; month output plan]],0)+2,COLUMN(Output_Table[[#This Row],[Out qty]]),4,1)</f>
        <v>K43</v>
      </c>
      <c r="X47" s="57" t="str">
        <f>ADDRESS(MATCH(Output_Table[[#This Row],[Year &amp; month output plan]],Output_Table[[#All],[Year &amp; month output plan]],1)+2,COLUMN(Output_Table[[#This Row],[Out qty]]),4,1)</f>
        <v>K47</v>
      </c>
      <c r="Y47" s="57" t="str">
        <f>ADDRESS(MATCH(Output_Table[[#This Row],[Year &amp; month output plan]],Output_Table[[#All],[Year &amp; month output plan]],0)+2,COLUMN(Output_Table[[#This Row],[In stock (month begins)]]),4,1)</f>
        <v>Q43</v>
      </c>
      <c r="Z47" s="57" t="str">
        <f>ADDRESS(MATCH(Output_Table[[#This Row],[Year &amp; month output plan]],Output_Table[[#All],[Year &amp; month output plan]],0)+2,COLUMN(Output_Table[[#This Row],[Month plan]]),4,1)</f>
        <v>R43</v>
      </c>
      <c r="AA47" s="57">
        <f>IF(MATCH(Output_Table[[#This Row],[Year &amp; month output plan]],Output_Table[[#All],[Year &amp; month output plan]],0)+2=ROW(Output_Table[[#This Row],[Job]]),1,0)</f>
        <v>0</v>
      </c>
      <c r="AB47" s="57">
        <f>IF(MATCH(Output_Table[[#This Row],[Year &amp; month output plan]],Output_Table[[#All],[Year &amp; month output plan]],1)+2=ROW(Output_Table[[#This Row],[Job]]),1,0)</f>
        <v>1</v>
      </c>
      <c r="AC47" s="57">
        <f>IFERROR(VALUE(LEFT(Output_Table[[#This Row],[Progress]],2)),"")</f>
        <v>20</v>
      </c>
    </row>
    <row r="48" spans="1:29" x14ac:dyDescent="0.25">
      <c r="A48" s="76" t="s">
        <v>146</v>
      </c>
      <c r="B48" s="41">
        <v>43061</v>
      </c>
      <c r="C48">
        <v>8</v>
      </c>
      <c r="D48" s="33" t="s">
        <v>5</v>
      </c>
      <c r="E48" s="33"/>
      <c r="F48" s="33"/>
      <c r="G48" s="33" t="s">
        <v>42</v>
      </c>
      <c r="H48" s="84">
        <f>_xlfn.IFNA(VLOOKUP(Output_Table[[#This Row],[Progress]],ProgressCalculation_List,6,FALSE),"")</f>
        <v>1.0000000000000002</v>
      </c>
      <c r="I48" s="85"/>
      <c r="J48" s="87">
        <v>43105</v>
      </c>
      <c r="K48" s="88">
        <v>8</v>
      </c>
      <c r="L48" s="90"/>
      <c r="M48" s="45">
        <v>43075.520833333336</v>
      </c>
      <c r="N48" s="33"/>
      <c r="O48" s="55">
        <f ca="1">IFERROR(INDIRECT(Output_Table[[#This Row],[Month plan begins]])-INDIRECT(Output_Table[[#This Row],[In stock Month begins]])-Output_Table[[#This Row],[Assembled]],0)</f>
        <v>-80</v>
      </c>
      <c r="P48" s="71">
        <f ca="1">IFERROR(SUBTOTAL(109,INDIRECT(Output_Table[[#This Row],[First cell]]):INDIRECT(Output_Table[[#This Row],[Last cell]])),0)</f>
        <v>80</v>
      </c>
      <c r="Q48" s="29">
        <v>0</v>
      </c>
      <c r="R48" s="29">
        <v>0</v>
      </c>
      <c r="S48" s="29" t="s">
        <v>90</v>
      </c>
      <c r="T48" s="61">
        <v>2018</v>
      </c>
      <c r="U48" s="57">
        <f>_xlfn.NUMBERVALUE(Output_Table[[#This Row],[Year]]&amp;TEXT(_xlfn.IFNA(VLOOKUP(Output_Table[[#This Row],[Output month]],OutupMonth_Table[],2,FALSE),""),"00"))</f>
        <v>201801</v>
      </c>
      <c r="V48" s="57">
        <f>_xlfn.NUMBERVALUE(YEAR(Output_Table[[#This Row],[Out by]])&amp; TEXT(MONTH(Output_Table[[#This Row],[Out by]]),"00"))</f>
        <v>201801</v>
      </c>
      <c r="W48" s="57" t="str">
        <f>ADDRESS(MATCH(Output_Table[[#This Row],[Year &amp; month output plan]],Output_Table[[#All],[Year &amp; month output plan]],0)+2,COLUMN(Output_Table[[#This Row],[Out qty]]),4,1)</f>
        <v>K48</v>
      </c>
      <c r="X48" s="57" t="str">
        <f>ADDRESS(MATCH(Output_Table[[#This Row],[Year &amp; month output plan]],Output_Table[[#All],[Year &amp; month output plan]],1)+2,COLUMN(Output_Table[[#This Row],[Out qty]]),4,1)</f>
        <v>K57</v>
      </c>
      <c r="Y48" s="57" t="str">
        <f>ADDRESS(MATCH(Output_Table[[#This Row],[Year &amp; month output plan]],Output_Table[[#All],[Year &amp; month output plan]],0)+2,COLUMN(Output_Table[[#This Row],[In stock (month begins)]]),4,1)</f>
        <v>Q48</v>
      </c>
      <c r="Z48" s="57" t="str">
        <f>ADDRESS(MATCH(Output_Table[[#This Row],[Year &amp; month output plan]],Output_Table[[#All],[Year &amp; month output plan]],0)+2,COLUMN(Output_Table[[#This Row],[Month plan]]),4,1)</f>
        <v>R48</v>
      </c>
      <c r="AA48" s="57">
        <f>IF(MATCH(Output_Table[[#This Row],[Year &amp; month output plan]],Output_Table[[#All],[Year &amp; month output plan]],0)+2=ROW(Output_Table[[#This Row],[Job]]),1,0)</f>
        <v>1</v>
      </c>
      <c r="AB48" s="57">
        <f>IF(MATCH(Output_Table[[#This Row],[Year &amp; month output plan]],Output_Table[[#All],[Year &amp; month output plan]],1)+2=ROW(Output_Table[[#This Row],[Job]]),1,0)</f>
        <v>0</v>
      </c>
      <c r="AC48" s="57">
        <f>IFERROR(VALUE(LEFT(Output_Table[[#This Row],[Progress]],2)),"")</f>
        <v>20</v>
      </c>
    </row>
    <row r="49" spans="1:29" x14ac:dyDescent="0.25">
      <c r="A49" s="76" t="s">
        <v>148</v>
      </c>
      <c r="B49" s="41">
        <v>43069</v>
      </c>
      <c r="C49">
        <v>8</v>
      </c>
      <c r="D49" s="33" t="s">
        <v>5</v>
      </c>
      <c r="E49" s="33"/>
      <c r="F49" s="33"/>
      <c r="G49" s="33" t="s">
        <v>42</v>
      </c>
      <c r="H49" s="84">
        <f>_xlfn.IFNA(VLOOKUP(Output_Table[[#This Row],[Progress]],ProgressCalculation_List,6,FALSE),"")</f>
        <v>1.0000000000000002</v>
      </c>
      <c r="I49" s="85"/>
      <c r="J49" s="87">
        <v>43105</v>
      </c>
      <c r="K49" s="88">
        <v>8</v>
      </c>
      <c r="L49" s="90"/>
      <c r="M49" s="33"/>
      <c r="N49" s="33"/>
      <c r="O49" s="55">
        <f ca="1">IFERROR(INDIRECT(Output_Table[[#This Row],[Month plan begins]])-INDIRECT(Output_Table[[#This Row],[In stock Month begins]])-Output_Table[[#This Row],[Assembled]],0)</f>
        <v>-80</v>
      </c>
      <c r="P49" s="71">
        <f ca="1">IFERROR(SUBTOTAL(109,INDIRECT(Output_Table[[#This Row],[First cell]]):INDIRECT(Output_Table[[#This Row],[Last cell]])),0)</f>
        <v>80</v>
      </c>
      <c r="Q49" s="29"/>
      <c r="R49" s="29"/>
      <c r="S49" s="29" t="s">
        <v>90</v>
      </c>
      <c r="T49" s="61">
        <v>2018</v>
      </c>
      <c r="U49" s="57">
        <f>_xlfn.NUMBERVALUE(Output_Table[[#This Row],[Year]]&amp;TEXT(_xlfn.IFNA(VLOOKUP(Output_Table[[#This Row],[Output month]],OutupMonth_Table[],2,FALSE),""),"00"))</f>
        <v>201801</v>
      </c>
      <c r="V49" s="57">
        <f>_xlfn.NUMBERVALUE(YEAR(Output_Table[[#This Row],[Out by]])&amp; TEXT(MONTH(Output_Table[[#This Row],[Out by]]),"00"))</f>
        <v>201801</v>
      </c>
      <c r="W49" s="57" t="str">
        <f>ADDRESS(MATCH(Output_Table[[#This Row],[Year &amp; month output plan]],Output_Table[[#All],[Year &amp; month output plan]],0)+2,COLUMN(Output_Table[[#This Row],[Out qty]]),4,1)</f>
        <v>K48</v>
      </c>
      <c r="X49" s="57" t="str">
        <f>ADDRESS(MATCH(Output_Table[[#This Row],[Year &amp; month output plan]],Output_Table[[#All],[Year &amp; month output plan]],1)+2,COLUMN(Output_Table[[#This Row],[Out qty]]),4,1)</f>
        <v>K57</v>
      </c>
      <c r="Y49" s="57" t="str">
        <f>ADDRESS(MATCH(Output_Table[[#This Row],[Year &amp; month output plan]],Output_Table[[#All],[Year &amp; month output plan]],0)+2,COLUMN(Output_Table[[#This Row],[In stock (month begins)]]),4,1)</f>
        <v>Q48</v>
      </c>
      <c r="Z49" s="57" t="str">
        <f>ADDRESS(MATCH(Output_Table[[#This Row],[Year &amp; month output plan]],Output_Table[[#All],[Year &amp; month output plan]],0)+2,COLUMN(Output_Table[[#This Row],[Month plan]]),4,1)</f>
        <v>R48</v>
      </c>
      <c r="AA49" s="57">
        <f>IF(MATCH(Output_Table[[#This Row],[Year &amp; month output plan]],Output_Table[[#All],[Year &amp; month output plan]],0)+2=ROW(Output_Table[[#This Row],[Job]]),1,0)</f>
        <v>0</v>
      </c>
      <c r="AB49" s="57">
        <f>IF(MATCH(Output_Table[[#This Row],[Year &amp; month output plan]],Output_Table[[#All],[Year &amp; month output plan]],1)+2=ROW(Output_Table[[#This Row],[Job]]),1,0)</f>
        <v>0</v>
      </c>
      <c r="AC49" s="57">
        <f>IFERROR(VALUE(LEFT(Output_Table[[#This Row],[Progress]],2)),"")</f>
        <v>20</v>
      </c>
    </row>
    <row r="50" spans="1:29" x14ac:dyDescent="0.25">
      <c r="A50" s="76" t="s">
        <v>149</v>
      </c>
      <c r="B50" s="41">
        <v>43073</v>
      </c>
      <c r="C50">
        <v>8</v>
      </c>
      <c r="D50" s="33" t="s">
        <v>5</v>
      </c>
      <c r="E50" s="33" t="s">
        <v>152</v>
      </c>
      <c r="F50" s="41">
        <v>43076</v>
      </c>
      <c r="G50" s="33" t="s">
        <v>42</v>
      </c>
      <c r="H50" s="84">
        <f>_xlfn.IFNA(VLOOKUP(Output_Table[[#This Row],[Progress]],ProgressCalculation_List,6,FALSE),"")</f>
        <v>1.0000000000000002</v>
      </c>
      <c r="I50" s="85"/>
      <c r="J50" s="87">
        <v>43112</v>
      </c>
      <c r="K50" s="88">
        <v>8</v>
      </c>
      <c r="L50" s="90"/>
      <c r="M50" s="45">
        <v>43081.333333333336</v>
      </c>
      <c r="N50" s="33"/>
      <c r="O50" s="55">
        <f ca="1">IFERROR(INDIRECT(Output_Table[[#This Row],[Month plan begins]])-INDIRECT(Output_Table[[#This Row],[In stock Month begins]])-Output_Table[[#This Row],[Assembled]],0)</f>
        <v>-80</v>
      </c>
      <c r="P50" s="71">
        <f ca="1">IFERROR(SUBTOTAL(109,INDIRECT(Output_Table[[#This Row],[First cell]]):INDIRECT(Output_Table[[#This Row],[Last cell]])),0)</f>
        <v>80</v>
      </c>
      <c r="Q50" s="29"/>
      <c r="R50" s="29"/>
      <c r="S50" s="29" t="s">
        <v>90</v>
      </c>
      <c r="T50" s="61">
        <v>2018</v>
      </c>
      <c r="U50" s="57">
        <f>_xlfn.NUMBERVALUE(Output_Table[[#This Row],[Year]]&amp;TEXT(_xlfn.IFNA(VLOOKUP(Output_Table[[#This Row],[Output month]],OutupMonth_Table[],2,FALSE),""),"00"))</f>
        <v>201801</v>
      </c>
      <c r="V50" s="57">
        <f>_xlfn.NUMBERVALUE(YEAR(Output_Table[[#This Row],[Out by]])&amp; TEXT(MONTH(Output_Table[[#This Row],[Out by]]),"00"))</f>
        <v>201801</v>
      </c>
      <c r="W50" s="57" t="str">
        <f>ADDRESS(MATCH(Output_Table[[#This Row],[Year &amp; month output plan]],Output_Table[[#All],[Year &amp; month output plan]],0)+2,COLUMN(Output_Table[[#This Row],[Out qty]]),4,1)</f>
        <v>K48</v>
      </c>
      <c r="X50" s="57" t="str">
        <f>ADDRESS(MATCH(Output_Table[[#This Row],[Year &amp; month output plan]],Output_Table[[#All],[Year &amp; month output plan]],1)+2,COLUMN(Output_Table[[#This Row],[Out qty]]),4,1)</f>
        <v>K57</v>
      </c>
      <c r="Y50" s="57" t="str">
        <f>ADDRESS(MATCH(Output_Table[[#This Row],[Year &amp; month output plan]],Output_Table[[#All],[Year &amp; month output plan]],0)+2,COLUMN(Output_Table[[#This Row],[In stock (month begins)]]),4,1)</f>
        <v>Q48</v>
      </c>
      <c r="Z50" s="57" t="str">
        <f>ADDRESS(MATCH(Output_Table[[#This Row],[Year &amp; month output plan]],Output_Table[[#All],[Year &amp; month output plan]],0)+2,COLUMN(Output_Table[[#This Row],[Month plan]]),4,1)</f>
        <v>R48</v>
      </c>
      <c r="AA50" s="57">
        <f>IF(MATCH(Output_Table[[#This Row],[Year &amp; month output plan]],Output_Table[[#All],[Year &amp; month output plan]],0)+2=ROW(Output_Table[[#This Row],[Job]]),1,0)</f>
        <v>0</v>
      </c>
      <c r="AB50" s="57">
        <f>IF(MATCH(Output_Table[[#This Row],[Year &amp; month output plan]],Output_Table[[#All],[Year &amp; month output plan]],1)+2=ROW(Output_Table[[#This Row],[Job]]),1,0)</f>
        <v>0</v>
      </c>
      <c r="AC50" s="57">
        <f>IFERROR(VALUE(LEFT(Output_Table[[#This Row],[Progress]],2)),"")</f>
        <v>20</v>
      </c>
    </row>
    <row r="51" spans="1:29" x14ac:dyDescent="0.25">
      <c r="A51" s="76" t="s">
        <v>150</v>
      </c>
      <c r="B51" s="41">
        <v>43073</v>
      </c>
      <c r="C51">
        <v>8</v>
      </c>
      <c r="D51" s="33" t="s">
        <v>5</v>
      </c>
      <c r="E51" s="33" t="s">
        <v>153</v>
      </c>
      <c r="F51" s="41">
        <v>43076</v>
      </c>
      <c r="G51" s="33" t="s">
        <v>42</v>
      </c>
      <c r="H51" s="84">
        <f>_xlfn.IFNA(VLOOKUP(Output_Table[[#This Row],[Progress]],ProgressCalculation_List,6,FALSE),"")</f>
        <v>1.0000000000000002</v>
      </c>
      <c r="I51" s="85"/>
      <c r="J51" s="87">
        <v>43112</v>
      </c>
      <c r="K51" s="88">
        <v>8</v>
      </c>
      <c r="L51" s="90"/>
      <c r="M51" s="45">
        <v>43081.458333333336</v>
      </c>
      <c r="N51" s="33"/>
      <c r="O51" s="55">
        <f ca="1">IFERROR(INDIRECT(Output_Table[[#This Row],[Month plan begins]])-INDIRECT(Output_Table[[#This Row],[In stock Month begins]])-Output_Table[[#This Row],[Assembled]],0)</f>
        <v>-80</v>
      </c>
      <c r="P51" s="71">
        <f ca="1">IFERROR(SUBTOTAL(109,INDIRECT(Output_Table[[#This Row],[First cell]]):INDIRECT(Output_Table[[#This Row],[Last cell]])),0)</f>
        <v>80</v>
      </c>
      <c r="Q51" s="29"/>
      <c r="R51" s="29"/>
      <c r="S51" s="29" t="s">
        <v>90</v>
      </c>
      <c r="T51" s="61">
        <v>2018</v>
      </c>
      <c r="U51" s="57">
        <f>_xlfn.NUMBERVALUE(Output_Table[[#This Row],[Year]]&amp;TEXT(_xlfn.IFNA(VLOOKUP(Output_Table[[#This Row],[Output month]],OutupMonth_Table[],2,FALSE),""),"00"))</f>
        <v>201801</v>
      </c>
      <c r="V51" s="57">
        <f>_xlfn.NUMBERVALUE(YEAR(Output_Table[[#This Row],[Out by]])&amp; TEXT(MONTH(Output_Table[[#This Row],[Out by]]),"00"))</f>
        <v>201801</v>
      </c>
      <c r="W51" s="57" t="str">
        <f>ADDRESS(MATCH(Output_Table[[#This Row],[Year &amp; month output plan]],Output_Table[[#All],[Year &amp; month output plan]],0)+2,COLUMN(Output_Table[[#This Row],[Out qty]]),4,1)</f>
        <v>K48</v>
      </c>
      <c r="X51" s="57" t="str">
        <f>ADDRESS(MATCH(Output_Table[[#This Row],[Year &amp; month output plan]],Output_Table[[#All],[Year &amp; month output plan]],1)+2,COLUMN(Output_Table[[#This Row],[Out qty]]),4,1)</f>
        <v>K57</v>
      </c>
      <c r="Y51" s="57" t="str">
        <f>ADDRESS(MATCH(Output_Table[[#This Row],[Year &amp; month output plan]],Output_Table[[#All],[Year &amp; month output plan]],0)+2,COLUMN(Output_Table[[#This Row],[In stock (month begins)]]),4,1)</f>
        <v>Q48</v>
      </c>
      <c r="Z51" s="57" t="str">
        <f>ADDRESS(MATCH(Output_Table[[#This Row],[Year &amp; month output plan]],Output_Table[[#All],[Year &amp; month output plan]],0)+2,COLUMN(Output_Table[[#This Row],[Month plan]]),4,1)</f>
        <v>R48</v>
      </c>
      <c r="AA51" s="57">
        <f>IF(MATCH(Output_Table[[#This Row],[Year &amp; month output plan]],Output_Table[[#All],[Year &amp; month output plan]],0)+2=ROW(Output_Table[[#This Row],[Job]]),1,0)</f>
        <v>0</v>
      </c>
      <c r="AB51" s="57">
        <f>IF(MATCH(Output_Table[[#This Row],[Year &amp; month output plan]],Output_Table[[#All],[Year &amp; month output plan]],1)+2=ROW(Output_Table[[#This Row],[Job]]),1,0)</f>
        <v>0</v>
      </c>
      <c r="AC51" s="57">
        <f>IFERROR(VALUE(LEFT(Output_Table[[#This Row],[Progress]],2)),"")</f>
        <v>20</v>
      </c>
    </row>
    <row r="52" spans="1:29" x14ac:dyDescent="0.25">
      <c r="A52" s="76" t="s">
        <v>151</v>
      </c>
      <c r="B52" s="41">
        <v>43073</v>
      </c>
      <c r="C52">
        <v>8</v>
      </c>
      <c r="D52" s="33" t="s">
        <v>5</v>
      </c>
      <c r="E52" s="33" t="s">
        <v>153</v>
      </c>
      <c r="F52" s="41">
        <v>43076</v>
      </c>
      <c r="G52" s="33" t="s">
        <v>42</v>
      </c>
      <c r="H52" s="84">
        <f>_xlfn.IFNA(VLOOKUP(Output_Table[[#This Row],[Progress]],ProgressCalculation_List,6,FALSE),"")</f>
        <v>1.0000000000000002</v>
      </c>
      <c r="I52" s="85"/>
      <c r="J52" s="87">
        <v>43115</v>
      </c>
      <c r="K52" s="88">
        <v>8</v>
      </c>
      <c r="L52" s="90"/>
      <c r="M52" s="33"/>
      <c r="N52" s="33" t="s">
        <v>163</v>
      </c>
      <c r="O52" s="55">
        <f ca="1">IFERROR(INDIRECT(Output_Table[[#This Row],[Month plan begins]])-INDIRECT(Output_Table[[#This Row],[In stock Month begins]])-Output_Table[[#This Row],[Assembled]],0)</f>
        <v>-80</v>
      </c>
      <c r="P52" s="71">
        <f ca="1">IFERROR(SUBTOTAL(109,INDIRECT(Output_Table[[#This Row],[First cell]]):INDIRECT(Output_Table[[#This Row],[Last cell]])),0)</f>
        <v>80</v>
      </c>
      <c r="Q52" s="29"/>
      <c r="R52" s="29"/>
      <c r="S52" s="29" t="s">
        <v>90</v>
      </c>
      <c r="T52" s="61">
        <v>2018</v>
      </c>
      <c r="U52" s="57">
        <f>_xlfn.NUMBERVALUE(Output_Table[[#This Row],[Year]]&amp;TEXT(_xlfn.IFNA(VLOOKUP(Output_Table[[#This Row],[Output month]],OutupMonth_Table[],2,FALSE),""),"00"))</f>
        <v>201801</v>
      </c>
      <c r="V52" s="57">
        <f>_xlfn.NUMBERVALUE(YEAR(Output_Table[[#This Row],[Out by]])&amp; TEXT(MONTH(Output_Table[[#This Row],[Out by]]),"00"))</f>
        <v>201801</v>
      </c>
      <c r="W52" s="57" t="str">
        <f>ADDRESS(MATCH(Output_Table[[#This Row],[Year &amp; month output plan]],Output_Table[[#All],[Year &amp; month output plan]],0)+2,COLUMN(Output_Table[[#This Row],[Out qty]]),4,1)</f>
        <v>K48</v>
      </c>
      <c r="X52" s="57" t="str">
        <f>ADDRESS(MATCH(Output_Table[[#This Row],[Year &amp; month output plan]],Output_Table[[#All],[Year &amp; month output plan]],1)+2,COLUMN(Output_Table[[#This Row],[Out qty]]),4,1)</f>
        <v>K57</v>
      </c>
      <c r="Y52" s="57" t="str">
        <f>ADDRESS(MATCH(Output_Table[[#This Row],[Year &amp; month output plan]],Output_Table[[#All],[Year &amp; month output plan]],0)+2,COLUMN(Output_Table[[#This Row],[In stock (month begins)]]),4,1)</f>
        <v>Q48</v>
      </c>
      <c r="Z52" s="57" t="str">
        <f>ADDRESS(MATCH(Output_Table[[#This Row],[Year &amp; month output plan]],Output_Table[[#All],[Year &amp; month output plan]],0)+2,COLUMN(Output_Table[[#This Row],[Month plan]]),4,1)</f>
        <v>R48</v>
      </c>
      <c r="AA52" s="57">
        <f>IF(MATCH(Output_Table[[#This Row],[Year &amp; month output plan]],Output_Table[[#All],[Year &amp; month output plan]],0)+2=ROW(Output_Table[[#This Row],[Job]]),1,0)</f>
        <v>0</v>
      </c>
      <c r="AB52" s="57">
        <f>IF(MATCH(Output_Table[[#This Row],[Year &amp; month output plan]],Output_Table[[#All],[Year &amp; month output plan]],1)+2=ROW(Output_Table[[#This Row],[Job]]),1,0)</f>
        <v>0</v>
      </c>
      <c r="AC52" s="57">
        <f>IFERROR(VALUE(LEFT(Output_Table[[#This Row],[Progress]],2)),"")</f>
        <v>20</v>
      </c>
    </row>
    <row r="53" spans="1:29" x14ac:dyDescent="0.25">
      <c r="A53" s="76" t="s">
        <v>154</v>
      </c>
      <c r="B53" s="41">
        <v>43083</v>
      </c>
      <c r="C53">
        <v>8</v>
      </c>
      <c r="D53" s="33" t="s">
        <v>5</v>
      </c>
      <c r="E53" s="33"/>
      <c r="F53" s="33"/>
      <c r="G53" s="33" t="s">
        <v>42</v>
      </c>
      <c r="H53" s="84">
        <f>_xlfn.IFNA(VLOOKUP(Output_Table[[#This Row],[Progress]],ProgressCalculation_List,6,FALSE),"")</f>
        <v>1.0000000000000002</v>
      </c>
      <c r="I53" s="85"/>
      <c r="J53" s="87">
        <v>43117</v>
      </c>
      <c r="K53" s="88">
        <v>8</v>
      </c>
      <c r="L53" s="90"/>
      <c r="M53" s="45">
        <v>43102.673611111109</v>
      </c>
      <c r="N53" s="33" t="s">
        <v>166</v>
      </c>
      <c r="O53" s="55">
        <f ca="1">IFERROR(INDIRECT(Output_Table[[#This Row],[Month plan begins]])-INDIRECT(Output_Table[[#This Row],[In stock Month begins]])-Output_Table[[#This Row],[Assembled]],0)</f>
        <v>-80</v>
      </c>
      <c r="P53" s="71">
        <f ca="1">IFERROR(SUBTOTAL(109,INDIRECT(Output_Table[[#This Row],[First cell]]):INDIRECT(Output_Table[[#This Row],[Last cell]])),0)</f>
        <v>80</v>
      </c>
      <c r="Q53" s="29"/>
      <c r="R53" s="29"/>
      <c r="S53" s="29" t="s">
        <v>90</v>
      </c>
      <c r="T53" s="61">
        <v>2018</v>
      </c>
      <c r="U53" s="57">
        <f>_xlfn.NUMBERVALUE(Output_Table[[#This Row],[Year]]&amp;TEXT(_xlfn.IFNA(VLOOKUP(Output_Table[[#This Row],[Output month]],OutupMonth_Table[],2,FALSE),""),"00"))</f>
        <v>201801</v>
      </c>
      <c r="V53" s="57">
        <f>_xlfn.NUMBERVALUE(YEAR(Output_Table[[#This Row],[Out by]])&amp; TEXT(MONTH(Output_Table[[#This Row],[Out by]]),"00"))</f>
        <v>201801</v>
      </c>
      <c r="W53" s="57" t="str">
        <f>ADDRESS(MATCH(Output_Table[[#This Row],[Year &amp; month output plan]],Output_Table[[#All],[Year &amp; month output plan]],0)+2,COLUMN(Output_Table[[#This Row],[Out qty]]),4,1)</f>
        <v>K48</v>
      </c>
      <c r="X53" s="57" t="str">
        <f>ADDRESS(MATCH(Output_Table[[#This Row],[Year &amp; month output plan]],Output_Table[[#All],[Year &amp; month output plan]],1)+2,COLUMN(Output_Table[[#This Row],[Out qty]]),4,1)</f>
        <v>K57</v>
      </c>
      <c r="Y53" s="57" t="str">
        <f>ADDRESS(MATCH(Output_Table[[#This Row],[Year &amp; month output plan]],Output_Table[[#All],[Year &amp; month output plan]],0)+2,COLUMN(Output_Table[[#This Row],[In stock (month begins)]]),4,1)</f>
        <v>Q48</v>
      </c>
      <c r="Z53" s="57" t="str">
        <f>ADDRESS(MATCH(Output_Table[[#This Row],[Year &amp; month output plan]],Output_Table[[#All],[Year &amp; month output plan]],0)+2,COLUMN(Output_Table[[#This Row],[Month plan]]),4,1)</f>
        <v>R48</v>
      </c>
      <c r="AA53" s="57">
        <f>IF(MATCH(Output_Table[[#This Row],[Year &amp; month output plan]],Output_Table[[#All],[Year &amp; month output plan]],0)+2=ROW(Output_Table[[#This Row],[Job]]),1,0)</f>
        <v>0</v>
      </c>
      <c r="AB53" s="57">
        <f>IF(MATCH(Output_Table[[#This Row],[Year &amp; month output plan]],Output_Table[[#All],[Year &amp; month output plan]],1)+2=ROW(Output_Table[[#This Row],[Job]]),1,0)</f>
        <v>0</v>
      </c>
      <c r="AC53" s="57">
        <f>IFERROR(VALUE(LEFT(Output_Table[[#This Row],[Progress]],2)),"")</f>
        <v>20</v>
      </c>
    </row>
    <row r="54" spans="1:29" x14ac:dyDescent="0.25">
      <c r="A54" s="76" t="s">
        <v>157</v>
      </c>
      <c r="B54" s="41">
        <v>43088</v>
      </c>
      <c r="C54">
        <v>8</v>
      </c>
      <c r="D54" s="33" t="s">
        <v>5</v>
      </c>
      <c r="E54" s="33"/>
      <c r="F54" s="33"/>
      <c r="G54" s="33" t="s">
        <v>42</v>
      </c>
      <c r="H54" s="84">
        <f>_xlfn.IFNA(VLOOKUP(Output_Table[[#This Row],[Progress]],ProgressCalculation_List,6,FALSE),"")</f>
        <v>1.0000000000000002</v>
      </c>
      <c r="I54" s="85"/>
      <c r="J54" s="87">
        <v>43117</v>
      </c>
      <c r="K54" s="88">
        <v>8</v>
      </c>
      <c r="L54" s="90"/>
      <c r="M54" s="45">
        <v>43103.3125</v>
      </c>
      <c r="N54" s="33" t="s">
        <v>166</v>
      </c>
      <c r="O54" s="55">
        <f ca="1">IFERROR(INDIRECT(Output_Table[[#This Row],[Month plan begins]])-INDIRECT(Output_Table[[#This Row],[In stock Month begins]])-Output_Table[[#This Row],[Assembled]],0)</f>
        <v>-80</v>
      </c>
      <c r="P54" s="71">
        <f ca="1">IFERROR(SUBTOTAL(109,INDIRECT(Output_Table[[#This Row],[First cell]]):INDIRECT(Output_Table[[#This Row],[Last cell]])),0)</f>
        <v>80</v>
      </c>
      <c r="Q54" s="29"/>
      <c r="R54" s="29"/>
      <c r="S54" s="29" t="s">
        <v>90</v>
      </c>
      <c r="T54" s="61">
        <v>2018</v>
      </c>
      <c r="U54" s="57">
        <f>_xlfn.NUMBERVALUE(Output_Table[[#This Row],[Year]]&amp;TEXT(_xlfn.IFNA(VLOOKUP(Output_Table[[#This Row],[Output month]],OutupMonth_Table[],2,FALSE),""),"00"))</f>
        <v>201801</v>
      </c>
      <c r="V54" s="57">
        <f>_xlfn.NUMBERVALUE(YEAR(Output_Table[[#This Row],[Out by]])&amp; TEXT(MONTH(Output_Table[[#This Row],[Out by]]),"00"))</f>
        <v>201801</v>
      </c>
      <c r="W54" s="57" t="str">
        <f>ADDRESS(MATCH(Output_Table[[#This Row],[Year &amp; month output plan]],Output_Table[[#All],[Year &amp; month output plan]],0)+2,COLUMN(Output_Table[[#This Row],[Out qty]]),4,1)</f>
        <v>K48</v>
      </c>
      <c r="X54" s="57" t="str">
        <f>ADDRESS(MATCH(Output_Table[[#This Row],[Year &amp; month output plan]],Output_Table[[#All],[Year &amp; month output plan]],1)+2,COLUMN(Output_Table[[#This Row],[Out qty]]),4,1)</f>
        <v>K57</v>
      </c>
      <c r="Y54" s="57" t="str">
        <f>ADDRESS(MATCH(Output_Table[[#This Row],[Year &amp; month output plan]],Output_Table[[#All],[Year &amp; month output plan]],0)+2,COLUMN(Output_Table[[#This Row],[In stock (month begins)]]),4,1)</f>
        <v>Q48</v>
      </c>
      <c r="Z54" s="57" t="str">
        <f>ADDRESS(MATCH(Output_Table[[#This Row],[Year &amp; month output plan]],Output_Table[[#All],[Year &amp; month output plan]],0)+2,COLUMN(Output_Table[[#This Row],[Month plan]]),4,1)</f>
        <v>R48</v>
      </c>
      <c r="AA54" s="57">
        <f>IF(MATCH(Output_Table[[#This Row],[Year &amp; month output plan]],Output_Table[[#All],[Year &amp; month output plan]],0)+2=ROW(Output_Table[[#This Row],[Job]]),1,0)</f>
        <v>0</v>
      </c>
      <c r="AB54" s="57">
        <f>IF(MATCH(Output_Table[[#This Row],[Year &amp; month output plan]],Output_Table[[#All],[Year &amp; month output plan]],1)+2=ROW(Output_Table[[#This Row],[Job]]),1,0)</f>
        <v>0</v>
      </c>
      <c r="AC54" s="57">
        <f>IFERROR(VALUE(LEFT(Output_Table[[#This Row],[Progress]],2)),"")</f>
        <v>20</v>
      </c>
    </row>
    <row r="55" spans="1:29" x14ac:dyDescent="0.25">
      <c r="A55" s="76" t="s">
        <v>158</v>
      </c>
      <c r="B55" s="41">
        <v>43088</v>
      </c>
      <c r="C55">
        <v>8</v>
      </c>
      <c r="D55" s="33" t="s">
        <v>5</v>
      </c>
      <c r="E55" s="33"/>
      <c r="F55" s="33"/>
      <c r="G55" s="33" t="s">
        <v>42</v>
      </c>
      <c r="H55" s="84">
        <f>_xlfn.IFNA(VLOOKUP(Output_Table[[#This Row],[Progress]],ProgressCalculation_List,6,FALSE),"")</f>
        <v>1.0000000000000002</v>
      </c>
      <c r="I55" s="85"/>
      <c r="J55" s="87">
        <v>43123</v>
      </c>
      <c r="K55" s="88">
        <v>8</v>
      </c>
      <c r="L55" s="90"/>
      <c r="M55" s="33"/>
      <c r="N55" s="33"/>
      <c r="O55" s="55">
        <f ca="1">IFERROR(INDIRECT(Output_Table[[#This Row],[Month plan begins]])-INDIRECT(Output_Table[[#This Row],[In stock Month begins]])-Output_Table[[#This Row],[Assembled]],0)</f>
        <v>-80</v>
      </c>
      <c r="P55" s="71">
        <f ca="1">IFERROR(SUBTOTAL(109,INDIRECT(Output_Table[[#This Row],[First cell]]):INDIRECT(Output_Table[[#This Row],[Last cell]])),0)</f>
        <v>80</v>
      </c>
      <c r="Q55" s="29"/>
      <c r="R55" s="29"/>
      <c r="S55" s="29" t="s">
        <v>90</v>
      </c>
      <c r="T55" s="61">
        <v>2018</v>
      </c>
      <c r="U55" s="57">
        <f>_xlfn.NUMBERVALUE(Output_Table[[#This Row],[Year]]&amp;TEXT(_xlfn.IFNA(VLOOKUP(Output_Table[[#This Row],[Output month]],OutupMonth_Table[],2,FALSE),""),"00"))</f>
        <v>201801</v>
      </c>
      <c r="V55" s="57">
        <f>_xlfn.NUMBERVALUE(YEAR(Output_Table[[#This Row],[Out by]])&amp; TEXT(MONTH(Output_Table[[#This Row],[Out by]]),"00"))</f>
        <v>201801</v>
      </c>
      <c r="W55" s="57" t="str">
        <f>ADDRESS(MATCH(Output_Table[[#This Row],[Year &amp; month output plan]],Output_Table[[#All],[Year &amp; month output plan]],0)+2,COLUMN(Output_Table[[#This Row],[Out qty]]),4,1)</f>
        <v>K48</v>
      </c>
      <c r="X55" s="57" t="str">
        <f>ADDRESS(MATCH(Output_Table[[#This Row],[Year &amp; month output plan]],Output_Table[[#All],[Year &amp; month output plan]],1)+2,COLUMN(Output_Table[[#This Row],[Out qty]]),4,1)</f>
        <v>K57</v>
      </c>
      <c r="Y55" s="57" t="str">
        <f>ADDRESS(MATCH(Output_Table[[#This Row],[Year &amp; month output plan]],Output_Table[[#All],[Year &amp; month output plan]],0)+2,COLUMN(Output_Table[[#This Row],[In stock (month begins)]]),4,1)</f>
        <v>Q48</v>
      </c>
      <c r="Z55" s="57" t="str">
        <f>ADDRESS(MATCH(Output_Table[[#This Row],[Year &amp; month output plan]],Output_Table[[#All],[Year &amp; month output plan]],0)+2,COLUMN(Output_Table[[#This Row],[Month plan]]),4,1)</f>
        <v>R48</v>
      </c>
      <c r="AA55" s="57">
        <f>IF(MATCH(Output_Table[[#This Row],[Year &amp; month output plan]],Output_Table[[#All],[Year &amp; month output plan]],0)+2=ROW(Output_Table[[#This Row],[Job]]),1,0)</f>
        <v>0</v>
      </c>
      <c r="AB55" s="57">
        <f>IF(MATCH(Output_Table[[#This Row],[Year &amp; month output plan]],Output_Table[[#All],[Year &amp; month output plan]],1)+2=ROW(Output_Table[[#This Row],[Job]]),1,0)</f>
        <v>0</v>
      </c>
      <c r="AC55" s="57">
        <f>IFERROR(VALUE(LEFT(Output_Table[[#This Row],[Progress]],2)),"")</f>
        <v>20</v>
      </c>
    </row>
    <row r="56" spans="1:29" ht="30" x14ac:dyDescent="0.25">
      <c r="A56" s="76" t="s">
        <v>159</v>
      </c>
      <c r="B56" s="41">
        <v>43089</v>
      </c>
      <c r="C56">
        <v>8</v>
      </c>
      <c r="D56" s="33" t="s">
        <v>5</v>
      </c>
      <c r="E56" s="33" t="s">
        <v>160</v>
      </c>
      <c r="F56" s="41">
        <v>43089</v>
      </c>
      <c r="G56" s="33" t="s">
        <v>42</v>
      </c>
      <c r="H56" s="84">
        <f>_xlfn.IFNA(VLOOKUP(Output_Table[[#This Row],[Progress]],ProgressCalculation_List,6,FALSE),"")</f>
        <v>1.0000000000000002</v>
      </c>
      <c r="I56" s="85"/>
      <c r="J56" s="87">
        <v>43126</v>
      </c>
      <c r="K56" s="88">
        <v>8</v>
      </c>
      <c r="L56" s="90"/>
      <c r="M56" s="45">
        <v>43111.333333333336</v>
      </c>
      <c r="N56" s="36" t="s">
        <v>172</v>
      </c>
      <c r="O56" s="55">
        <f ca="1">IFERROR(INDIRECT(Output_Table[[#This Row],[Month plan begins]])-INDIRECT(Output_Table[[#This Row],[In stock Month begins]])-Output_Table[[#This Row],[Assembled]],0)</f>
        <v>-80</v>
      </c>
      <c r="P56" s="71">
        <f ca="1">IFERROR(SUBTOTAL(109,INDIRECT(Output_Table[[#This Row],[First cell]]):INDIRECT(Output_Table[[#This Row],[Last cell]])),0)</f>
        <v>80</v>
      </c>
      <c r="Q56" s="29"/>
      <c r="R56" s="29"/>
      <c r="S56" s="29" t="s">
        <v>90</v>
      </c>
      <c r="T56" s="61">
        <v>2018</v>
      </c>
      <c r="U56" s="57">
        <f>_xlfn.NUMBERVALUE(Output_Table[[#This Row],[Year]]&amp;TEXT(_xlfn.IFNA(VLOOKUP(Output_Table[[#This Row],[Output month]],OutupMonth_Table[],2,FALSE),""),"00"))</f>
        <v>201801</v>
      </c>
      <c r="V56" s="57">
        <f>_xlfn.NUMBERVALUE(YEAR(Output_Table[[#This Row],[Out by]])&amp; TEXT(MONTH(Output_Table[[#This Row],[Out by]]),"00"))</f>
        <v>201801</v>
      </c>
      <c r="W56" s="57" t="str">
        <f>ADDRESS(MATCH(Output_Table[[#This Row],[Year &amp; month output plan]],Output_Table[[#All],[Year &amp; month output plan]],0)+2,COLUMN(Output_Table[[#This Row],[Out qty]]),4,1)</f>
        <v>K48</v>
      </c>
      <c r="X56" s="57" t="str">
        <f>ADDRESS(MATCH(Output_Table[[#This Row],[Year &amp; month output plan]],Output_Table[[#All],[Year &amp; month output plan]],1)+2,COLUMN(Output_Table[[#This Row],[Out qty]]),4,1)</f>
        <v>K57</v>
      </c>
      <c r="Y56" s="57" t="str">
        <f>ADDRESS(MATCH(Output_Table[[#This Row],[Year &amp; month output plan]],Output_Table[[#All],[Year &amp; month output plan]],0)+2,COLUMN(Output_Table[[#This Row],[In stock (month begins)]]),4,1)</f>
        <v>Q48</v>
      </c>
      <c r="Z56" s="57" t="str">
        <f>ADDRESS(MATCH(Output_Table[[#This Row],[Year &amp; month output plan]],Output_Table[[#All],[Year &amp; month output plan]],0)+2,COLUMN(Output_Table[[#This Row],[Month plan]]),4,1)</f>
        <v>R48</v>
      </c>
      <c r="AA56" s="57">
        <f>IF(MATCH(Output_Table[[#This Row],[Year &amp; month output plan]],Output_Table[[#All],[Year &amp; month output plan]],0)+2=ROW(Output_Table[[#This Row],[Job]]),1,0)</f>
        <v>0</v>
      </c>
      <c r="AB56" s="57">
        <f>IF(MATCH(Output_Table[[#This Row],[Year &amp; month output plan]],Output_Table[[#All],[Year &amp; month output plan]],1)+2=ROW(Output_Table[[#This Row],[Job]]),1,0)</f>
        <v>0</v>
      </c>
      <c r="AC56" s="57">
        <f>IFERROR(VALUE(LEFT(Output_Table[[#This Row],[Progress]],2)),"")</f>
        <v>20</v>
      </c>
    </row>
    <row r="57" spans="1:29" x14ac:dyDescent="0.25">
      <c r="A57" s="76" t="s">
        <v>161</v>
      </c>
      <c r="B57" s="41">
        <v>43089</v>
      </c>
      <c r="C57">
        <v>8</v>
      </c>
      <c r="D57" s="33" t="s">
        <v>5</v>
      </c>
      <c r="E57" s="33" t="s">
        <v>160</v>
      </c>
      <c r="F57" s="41">
        <v>43089</v>
      </c>
      <c r="G57" s="33" t="s">
        <v>42</v>
      </c>
      <c r="H57" s="84">
        <f>_xlfn.IFNA(VLOOKUP(Output_Table[[#This Row],[Progress]],ProgressCalculation_List,6,FALSE),"")</f>
        <v>1.0000000000000002</v>
      </c>
      <c r="I57" s="85"/>
      <c r="J57" s="87">
        <v>43131</v>
      </c>
      <c r="K57" s="88">
        <v>8</v>
      </c>
      <c r="L57" s="90"/>
      <c r="M57" s="45">
        <v>43111.645833333336</v>
      </c>
      <c r="N57" s="51"/>
      <c r="O57" s="55">
        <f ca="1">IFERROR(INDIRECT(Output_Table[[#This Row],[Month plan begins]])-INDIRECT(Output_Table[[#This Row],[In stock Month begins]])-Output_Table[[#This Row],[Assembled]],0)</f>
        <v>-80</v>
      </c>
      <c r="P57" s="71">
        <f ca="1">IFERROR(SUBTOTAL(109,INDIRECT(Output_Table[[#This Row],[First cell]]):INDIRECT(Output_Table[[#This Row],[Last cell]])),0)</f>
        <v>80</v>
      </c>
      <c r="Q57" s="29"/>
      <c r="R57" s="29"/>
      <c r="S57" s="29" t="s">
        <v>90</v>
      </c>
      <c r="T57" s="61">
        <v>2018</v>
      </c>
      <c r="U57" s="57">
        <f>_xlfn.NUMBERVALUE(Output_Table[[#This Row],[Year]]&amp;TEXT(_xlfn.IFNA(VLOOKUP(Output_Table[[#This Row],[Output month]],OutupMonth_Table[],2,FALSE),""),"00"))</f>
        <v>201801</v>
      </c>
      <c r="V57" s="57">
        <f>_xlfn.NUMBERVALUE(YEAR(Output_Table[[#This Row],[Out by]])&amp; TEXT(MONTH(Output_Table[[#This Row],[Out by]]),"00"))</f>
        <v>201801</v>
      </c>
      <c r="W57" s="57" t="str">
        <f>ADDRESS(MATCH(Output_Table[[#This Row],[Year &amp; month output plan]],Output_Table[[#All],[Year &amp; month output plan]],0)+2,COLUMN(Output_Table[[#This Row],[Out qty]]),4,1)</f>
        <v>K48</v>
      </c>
      <c r="X57" s="57" t="str">
        <f>ADDRESS(MATCH(Output_Table[[#This Row],[Year &amp; month output plan]],Output_Table[[#All],[Year &amp; month output plan]],1)+2,COLUMN(Output_Table[[#This Row],[Out qty]]),4,1)</f>
        <v>K57</v>
      </c>
      <c r="Y57" s="57" t="str">
        <f>ADDRESS(MATCH(Output_Table[[#This Row],[Year &amp; month output plan]],Output_Table[[#All],[Year &amp; month output plan]],0)+2,COLUMN(Output_Table[[#This Row],[In stock (month begins)]]),4,1)</f>
        <v>Q48</v>
      </c>
      <c r="Z57" s="57" t="str">
        <f>ADDRESS(MATCH(Output_Table[[#This Row],[Year &amp; month output plan]],Output_Table[[#All],[Year &amp; month output plan]],0)+2,COLUMN(Output_Table[[#This Row],[Month plan]]),4,1)</f>
        <v>R48</v>
      </c>
      <c r="AA57" s="57">
        <f>IF(MATCH(Output_Table[[#This Row],[Year &amp; month output plan]],Output_Table[[#All],[Year &amp; month output plan]],0)+2=ROW(Output_Table[[#This Row],[Job]]),1,0)</f>
        <v>0</v>
      </c>
      <c r="AB57" s="57">
        <f>IF(MATCH(Output_Table[[#This Row],[Year &amp; month output plan]],Output_Table[[#All],[Year &amp; month output plan]],1)+2=ROW(Output_Table[[#This Row],[Job]]),1,0)</f>
        <v>1</v>
      </c>
      <c r="AC57" s="57">
        <f>IFERROR(VALUE(LEFT(Output_Table[[#This Row],[Progress]],2)),"")</f>
        <v>20</v>
      </c>
    </row>
    <row r="58" spans="1:29" ht="45" x14ac:dyDescent="0.25">
      <c r="A58" s="76" t="s">
        <v>164</v>
      </c>
      <c r="B58" s="41">
        <v>43104</v>
      </c>
      <c r="C58" s="33">
        <v>8</v>
      </c>
      <c r="D58" s="33" t="s">
        <v>5</v>
      </c>
      <c r="E58" s="42" t="s">
        <v>178</v>
      </c>
      <c r="F58" s="47" t="s">
        <v>177</v>
      </c>
      <c r="G58" s="33" t="s">
        <v>42</v>
      </c>
      <c r="H58" s="84">
        <f>_xlfn.IFNA(VLOOKUP(Output_Table[[#This Row],[Progress]],ProgressCalculation_List,6,FALSE),"")</f>
        <v>1.0000000000000002</v>
      </c>
      <c r="I58" s="85"/>
      <c r="J58" s="87">
        <v>43133</v>
      </c>
      <c r="K58" s="88">
        <v>8</v>
      </c>
      <c r="L58" s="90"/>
      <c r="M58" s="45">
        <v>43123.4375</v>
      </c>
      <c r="N58" s="33" t="s">
        <v>173</v>
      </c>
      <c r="O58" s="55">
        <f ca="1">IFERROR(INDIRECT(Output_Table[[#This Row],[Month plan begins]])-INDIRECT(Output_Table[[#This Row],[In stock Month begins]])-Output_Table[[#This Row],[Assembled]],0)</f>
        <v>-41</v>
      </c>
      <c r="P58" s="71">
        <f ca="1">IFERROR(SUBTOTAL(109,INDIRECT(Output_Table[[#This Row],[First cell]]):INDIRECT(Output_Table[[#This Row],[Last cell]])),0)</f>
        <v>41</v>
      </c>
      <c r="Q58" s="29">
        <v>0</v>
      </c>
      <c r="R58" s="29">
        <v>0</v>
      </c>
      <c r="S58" s="29" t="s">
        <v>91</v>
      </c>
      <c r="T58" s="61">
        <v>2018</v>
      </c>
      <c r="U58" s="57">
        <f>_xlfn.NUMBERVALUE(Output_Table[[#This Row],[Year]]&amp;TEXT(_xlfn.IFNA(VLOOKUP(Output_Table[[#This Row],[Output month]],OutupMonth_Table[],2,FALSE),""),"00"))</f>
        <v>201802</v>
      </c>
      <c r="V58" s="57">
        <f>_xlfn.NUMBERVALUE(YEAR(Output_Table[[#This Row],[Out by]])&amp; TEXT(MONTH(Output_Table[[#This Row],[Out by]]),"00"))</f>
        <v>201802</v>
      </c>
      <c r="W58" s="57" t="str">
        <f>ADDRESS(MATCH(Output_Table[[#This Row],[Year &amp; month output plan]],Output_Table[[#All],[Year &amp; month output plan]],0)+2,COLUMN(Output_Table[[#This Row],[Out qty]]),4,1)</f>
        <v>K58</v>
      </c>
      <c r="X58" s="57" t="str">
        <f>ADDRESS(MATCH(Output_Table[[#This Row],[Year &amp; month output plan]],Output_Table[[#All],[Year &amp; month output plan]],1)+2,COLUMN(Output_Table[[#This Row],[Out qty]]),4,1)</f>
        <v>K63</v>
      </c>
      <c r="Y58" s="57" t="str">
        <f>ADDRESS(MATCH(Output_Table[[#This Row],[Year &amp; month output plan]],Output_Table[[#All],[Year &amp; month output plan]],0)+2,COLUMN(Output_Table[[#This Row],[In stock (month begins)]]),4,1)</f>
        <v>Q58</v>
      </c>
      <c r="Z58" s="57" t="str">
        <f>ADDRESS(MATCH(Output_Table[[#This Row],[Year &amp; month output plan]],Output_Table[[#All],[Year &amp; month output plan]],0)+2,COLUMN(Output_Table[[#This Row],[Month plan]]),4,1)</f>
        <v>R58</v>
      </c>
      <c r="AA58" s="57">
        <f>IF(MATCH(Output_Table[[#This Row],[Year &amp; month output plan]],Output_Table[[#All],[Year &amp; month output plan]],0)+2=ROW(Output_Table[[#This Row],[Job]]),1,0)</f>
        <v>1</v>
      </c>
      <c r="AB58" s="57">
        <f>IF(MATCH(Output_Table[[#This Row],[Year &amp; month output plan]],Output_Table[[#All],[Year &amp; month output plan]],1)+2=ROW(Output_Table[[#This Row],[Job]]),1,0)</f>
        <v>0</v>
      </c>
      <c r="AC58" s="57">
        <f>IFERROR(VALUE(LEFT(Output_Table[[#This Row],[Progress]],2)),"")</f>
        <v>20</v>
      </c>
    </row>
    <row r="59" spans="1:29" x14ac:dyDescent="0.25">
      <c r="A59" s="76" t="s">
        <v>141</v>
      </c>
      <c r="B59" s="41">
        <v>43039</v>
      </c>
      <c r="C59" s="33">
        <v>8</v>
      </c>
      <c r="D59" s="33" t="s">
        <v>5</v>
      </c>
      <c r="E59" s="33"/>
      <c r="F59" s="33"/>
      <c r="G59" s="33" t="s">
        <v>42</v>
      </c>
      <c r="H59" s="84">
        <f>_xlfn.IFNA(VLOOKUP(Output_Table[[#This Row],[Progress]],ProgressCalculation_List,6,FALSE),"")</f>
        <v>1.0000000000000002</v>
      </c>
      <c r="I59" s="85"/>
      <c r="J59" s="87">
        <v>43133</v>
      </c>
      <c r="K59" s="88">
        <v>1</v>
      </c>
      <c r="L59" s="90"/>
      <c r="M59" s="45">
        <v>43122.333333333336</v>
      </c>
      <c r="N59" s="33" t="s">
        <v>173</v>
      </c>
      <c r="O59" s="55">
        <f ca="1">IFERROR(INDIRECT(Output_Table[[#This Row],[Month plan begins]])-INDIRECT(Output_Table[[#This Row],[In stock Month begins]])-Output_Table[[#This Row],[Assembled]],0)</f>
        <v>-41</v>
      </c>
      <c r="P59" s="71">
        <f ca="1">IFERROR(SUBTOTAL(109,INDIRECT(Output_Table[[#This Row],[First cell]]):INDIRECT(Output_Table[[#This Row],[Last cell]])),0)</f>
        <v>41</v>
      </c>
      <c r="Q59" s="29"/>
      <c r="R59" s="29"/>
      <c r="S59" s="29" t="s">
        <v>91</v>
      </c>
      <c r="T59" s="61">
        <v>2018</v>
      </c>
      <c r="U59" s="57">
        <f>_xlfn.NUMBERVALUE(Output_Table[[#This Row],[Year]]&amp;TEXT(_xlfn.IFNA(VLOOKUP(Output_Table[[#This Row],[Output month]],OutupMonth_Table[],2,FALSE),""),"00"))</f>
        <v>201802</v>
      </c>
      <c r="V59" s="57">
        <f>_xlfn.NUMBERVALUE(YEAR(Output_Table[[#This Row],[Out by]])&amp; TEXT(MONTH(Output_Table[[#This Row],[Out by]]),"00"))</f>
        <v>201802</v>
      </c>
      <c r="W59" s="57" t="str">
        <f>ADDRESS(MATCH(Output_Table[[#This Row],[Year &amp; month output plan]],Output_Table[[#All],[Year &amp; month output plan]],0)+2,COLUMN(Output_Table[[#This Row],[Out qty]]),4,1)</f>
        <v>K58</v>
      </c>
      <c r="X59" s="57" t="str">
        <f>ADDRESS(MATCH(Output_Table[[#This Row],[Year &amp; month output plan]],Output_Table[[#All],[Year &amp; month output plan]],1)+2,COLUMN(Output_Table[[#This Row],[Out qty]]),4,1)</f>
        <v>K63</v>
      </c>
      <c r="Y59" s="57" t="str">
        <f>ADDRESS(MATCH(Output_Table[[#This Row],[Year &amp; month output plan]],Output_Table[[#All],[Year &amp; month output plan]],0)+2,COLUMN(Output_Table[[#This Row],[In stock (month begins)]]),4,1)</f>
        <v>Q58</v>
      </c>
      <c r="Z59" s="57" t="str">
        <f>ADDRESS(MATCH(Output_Table[[#This Row],[Year &amp; month output plan]],Output_Table[[#All],[Year &amp; month output plan]],0)+2,COLUMN(Output_Table[[#This Row],[Month plan]]),4,1)</f>
        <v>R58</v>
      </c>
      <c r="AA59" s="57">
        <f>IF(MATCH(Output_Table[[#This Row],[Year &amp; month output plan]],Output_Table[[#All],[Year &amp; month output plan]],0)+2=ROW(Output_Table[[#This Row],[Job]]),1,0)</f>
        <v>0</v>
      </c>
      <c r="AB59" s="57">
        <f>IF(MATCH(Output_Table[[#This Row],[Year &amp; month output plan]],Output_Table[[#All],[Year &amp; month output plan]],1)+2=ROW(Output_Table[[#This Row],[Job]]),1,0)</f>
        <v>0</v>
      </c>
      <c r="AC59" s="57">
        <f>IFERROR(VALUE(LEFT(Output_Table[[#This Row],[Progress]],2)),"")</f>
        <v>20</v>
      </c>
    </row>
    <row r="60" spans="1:29" x14ac:dyDescent="0.25">
      <c r="A60" s="76" t="s">
        <v>167</v>
      </c>
      <c r="B60" s="41">
        <v>43123</v>
      </c>
      <c r="C60" s="33">
        <v>8</v>
      </c>
      <c r="D60" s="33" t="s">
        <v>5</v>
      </c>
      <c r="E60" s="33"/>
      <c r="F60" s="33"/>
      <c r="G60" s="33" t="s">
        <v>42</v>
      </c>
      <c r="H60" s="84">
        <f>_xlfn.IFNA(VLOOKUP(Output_Table[[#This Row],[Progress]],ProgressCalculation_List,6,FALSE),"")</f>
        <v>1.0000000000000002</v>
      </c>
      <c r="I60" s="85"/>
      <c r="J60" s="87">
        <v>43140</v>
      </c>
      <c r="K60" s="88">
        <v>8</v>
      </c>
      <c r="L60" s="90"/>
      <c r="M60" s="45">
        <v>43124.489583333336</v>
      </c>
      <c r="N60" s="33"/>
      <c r="O60" s="55">
        <f ca="1">IFERROR(INDIRECT(Output_Table[[#This Row],[Month plan begins]])-INDIRECT(Output_Table[[#This Row],[In stock Month begins]])-Output_Table[[#This Row],[Assembled]],0)</f>
        <v>-41</v>
      </c>
      <c r="P60" s="71">
        <f ca="1">IFERROR(SUBTOTAL(109,INDIRECT(Output_Table[[#This Row],[First cell]]):INDIRECT(Output_Table[[#This Row],[Last cell]])),0)</f>
        <v>41</v>
      </c>
      <c r="Q60" s="29"/>
      <c r="R60" s="29"/>
      <c r="S60" s="29" t="s">
        <v>91</v>
      </c>
      <c r="T60" s="61">
        <v>2018</v>
      </c>
      <c r="U60" s="57">
        <f>_xlfn.NUMBERVALUE(Output_Table[[#This Row],[Year]]&amp;TEXT(_xlfn.IFNA(VLOOKUP(Output_Table[[#This Row],[Output month]],OutupMonth_Table[],2,FALSE),""),"00"))</f>
        <v>201802</v>
      </c>
      <c r="V60" s="57">
        <f>_xlfn.NUMBERVALUE(YEAR(Output_Table[[#This Row],[Out by]])&amp; TEXT(MONTH(Output_Table[[#This Row],[Out by]]),"00"))</f>
        <v>201802</v>
      </c>
      <c r="W60" s="57" t="str">
        <f>ADDRESS(MATCH(Output_Table[[#This Row],[Year &amp; month output plan]],Output_Table[[#All],[Year &amp; month output plan]],0)+2,COLUMN(Output_Table[[#This Row],[Out qty]]),4,1)</f>
        <v>K58</v>
      </c>
      <c r="X60" s="57" t="str">
        <f>ADDRESS(MATCH(Output_Table[[#This Row],[Year &amp; month output plan]],Output_Table[[#All],[Year &amp; month output plan]],1)+2,COLUMN(Output_Table[[#This Row],[Out qty]]),4,1)</f>
        <v>K63</v>
      </c>
      <c r="Y60" s="57" t="str">
        <f>ADDRESS(MATCH(Output_Table[[#This Row],[Year &amp; month output plan]],Output_Table[[#All],[Year &amp; month output plan]],0)+2,COLUMN(Output_Table[[#This Row],[In stock (month begins)]]),4,1)</f>
        <v>Q58</v>
      </c>
      <c r="Z60" s="57" t="str">
        <f>ADDRESS(MATCH(Output_Table[[#This Row],[Year &amp; month output plan]],Output_Table[[#All],[Year &amp; month output plan]],0)+2,COLUMN(Output_Table[[#This Row],[Month plan]]),4,1)</f>
        <v>R58</v>
      </c>
      <c r="AA60" s="57">
        <f>IF(MATCH(Output_Table[[#This Row],[Year &amp; month output plan]],Output_Table[[#All],[Year &amp; month output plan]],0)+2=ROW(Output_Table[[#This Row],[Job]]),1,0)</f>
        <v>0</v>
      </c>
      <c r="AB60" s="57">
        <f>IF(MATCH(Output_Table[[#This Row],[Year &amp; month output plan]],Output_Table[[#All],[Year &amp; month output plan]],1)+2=ROW(Output_Table[[#This Row],[Job]]),1,0)</f>
        <v>0</v>
      </c>
      <c r="AC60" s="57">
        <f>IFERROR(VALUE(LEFT(Output_Table[[#This Row],[Progress]],2)),"")</f>
        <v>20</v>
      </c>
    </row>
    <row r="61" spans="1:29" x14ac:dyDescent="0.25">
      <c r="A61" s="76" t="s">
        <v>168</v>
      </c>
      <c r="B61" s="41">
        <v>43123</v>
      </c>
      <c r="C61" s="33">
        <v>8</v>
      </c>
      <c r="D61" s="33" t="s">
        <v>5</v>
      </c>
      <c r="E61" s="33" t="s">
        <v>169</v>
      </c>
      <c r="F61" s="41">
        <v>43124</v>
      </c>
      <c r="G61" s="33" t="s">
        <v>42</v>
      </c>
      <c r="H61" s="84">
        <f>_xlfn.IFNA(VLOOKUP(Output_Table[[#This Row],[Progress]],ProgressCalculation_List,6,FALSE),"")</f>
        <v>1.0000000000000002</v>
      </c>
      <c r="I61" s="85"/>
      <c r="J61" s="87">
        <v>43140</v>
      </c>
      <c r="K61" s="88">
        <v>8</v>
      </c>
      <c r="L61" s="90"/>
      <c r="M61" s="45">
        <v>43125.416666666664</v>
      </c>
      <c r="N61" s="33"/>
      <c r="O61" s="55">
        <f ca="1">IFERROR(INDIRECT(Output_Table[[#This Row],[Month plan begins]])-INDIRECT(Output_Table[[#This Row],[In stock Month begins]])-Output_Table[[#This Row],[Assembled]],0)</f>
        <v>-41</v>
      </c>
      <c r="P61" s="71">
        <f ca="1">IFERROR(SUBTOTAL(109,INDIRECT(Output_Table[[#This Row],[First cell]]):INDIRECT(Output_Table[[#This Row],[Last cell]])),0)</f>
        <v>41</v>
      </c>
      <c r="Q61" s="29"/>
      <c r="R61" s="29"/>
      <c r="S61" s="29" t="s">
        <v>91</v>
      </c>
      <c r="T61" s="61">
        <v>2018</v>
      </c>
      <c r="U61" s="57">
        <f>_xlfn.NUMBERVALUE(Output_Table[[#This Row],[Year]]&amp;TEXT(_xlfn.IFNA(VLOOKUP(Output_Table[[#This Row],[Output month]],OutupMonth_Table[],2,FALSE),""),"00"))</f>
        <v>201802</v>
      </c>
      <c r="V61" s="57">
        <f>_xlfn.NUMBERVALUE(YEAR(Output_Table[[#This Row],[Out by]])&amp; TEXT(MONTH(Output_Table[[#This Row],[Out by]]),"00"))</f>
        <v>201802</v>
      </c>
      <c r="W61" s="57" t="str">
        <f>ADDRESS(MATCH(Output_Table[[#This Row],[Year &amp; month output plan]],Output_Table[[#All],[Year &amp; month output plan]],0)+2,COLUMN(Output_Table[[#This Row],[Out qty]]),4,1)</f>
        <v>K58</v>
      </c>
      <c r="X61" s="57" t="str">
        <f>ADDRESS(MATCH(Output_Table[[#This Row],[Year &amp; month output plan]],Output_Table[[#All],[Year &amp; month output plan]],1)+2,COLUMN(Output_Table[[#This Row],[Out qty]]),4,1)</f>
        <v>K63</v>
      </c>
      <c r="Y61" s="57" t="str">
        <f>ADDRESS(MATCH(Output_Table[[#This Row],[Year &amp; month output plan]],Output_Table[[#All],[Year &amp; month output plan]],0)+2,COLUMN(Output_Table[[#This Row],[In stock (month begins)]]),4,1)</f>
        <v>Q58</v>
      </c>
      <c r="Z61" s="57" t="str">
        <f>ADDRESS(MATCH(Output_Table[[#This Row],[Year &amp; month output plan]],Output_Table[[#All],[Year &amp; month output plan]],0)+2,COLUMN(Output_Table[[#This Row],[Month plan]]),4,1)</f>
        <v>R58</v>
      </c>
      <c r="AA61" s="57">
        <f>IF(MATCH(Output_Table[[#This Row],[Year &amp; month output plan]],Output_Table[[#All],[Year &amp; month output plan]],0)+2=ROW(Output_Table[[#This Row],[Job]]),1,0)</f>
        <v>0</v>
      </c>
      <c r="AB61" s="57">
        <f>IF(MATCH(Output_Table[[#This Row],[Year &amp; month output plan]],Output_Table[[#All],[Year &amp; month output plan]],1)+2=ROW(Output_Table[[#This Row],[Job]]),1,0)</f>
        <v>0</v>
      </c>
      <c r="AC61" s="57">
        <f>IFERROR(VALUE(LEFT(Output_Table[[#This Row],[Progress]],2)),"")</f>
        <v>20</v>
      </c>
    </row>
    <row r="62" spans="1:29" x14ac:dyDescent="0.25">
      <c r="A62" s="76" t="s">
        <v>170</v>
      </c>
      <c r="B62" s="41">
        <v>43125</v>
      </c>
      <c r="C62" s="33">
        <v>8</v>
      </c>
      <c r="D62" s="33" t="s">
        <v>5</v>
      </c>
      <c r="E62" s="33"/>
      <c r="F62" s="33"/>
      <c r="G62" s="33" t="s">
        <v>42</v>
      </c>
      <c r="H62" s="84">
        <f>_xlfn.IFNA(VLOOKUP(Output_Table[[#This Row],[Progress]],ProgressCalculation_List,6,FALSE),"")</f>
        <v>1.0000000000000002</v>
      </c>
      <c r="I62" s="85"/>
      <c r="J62" s="87">
        <v>43147</v>
      </c>
      <c r="K62" s="88">
        <v>8</v>
      </c>
      <c r="L62" s="90"/>
      <c r="M62" s="45">
        <v>43129.65625</v>
      </c>
      <c r="N62" s="33"/>
      <c r="O62" s="55">
        <f ca="1">IFERROR(INDIRECT(Output_Table[[#This Row],[Month plan begins]])-INDIRECT(Output_Table[[#This Row],[In stock Month begins]])-Output_Table[[#This Row],[Assembled]],0)</f>
        <v>-41</v>
      </c>
      <c r="P62" s="71">
        <f ca="1">IFERROR(SUBTOTAL(109,INDIRECT(Output_Table[[#This Row],[First cell]]):INDIRECT(Output_Table[[#This Row],[Last cell]])),0)</f>
        <v>41</v>
      </c>
      <c r="Q62" s="29"/>
      <c r="R62" s="29"/>
      <c r="S62" s="29" t="s">
        <v>91</v>
      </c>
      <c r="T62" s="61">
        <v>2018</v>
      </c>
      <c r="U62" s="57">
        <f>_xlfn.NUMBERVALUE(Output_Table[[#This Row],[Year]]&amp;TEXT(_xlfn.IFNA(VLOOKUP(Output_Table[[#This Row],[Output month]],OutupMonth_Table[],2,FALSE),""),"00"))</f>
        <v>201802</v>
      </c>
      <c r="V62" s="57">
        <f>_xlfn.NUMBERVALUE(YEAR(Output_Table[[#This Row],[Out by]])&amp; TEXT(MONTH(Output_Table[[#This Row],[Out by]]),"00"))</f>
        <v>201802</v>
      </c>
      <c r="W62" s="57" t="str">
        <f>ADDRESS(MATCH(Output_Table[[#This Row],[Year &amp; month output plan]],Output_Table[[#All],[Year &amp; month output plan]],0)+2,COLUMN(Output_Table[[#This Row],[Out qty]]),4,1)</f>
        <v>K58</v>
      </c>
      <c r="X62" s="57" t="str">
        <f>ADDRESS(MATCH(Output_Table[[#This Row],[Year &amp; month output plan]],Output_Table[[#All],[Year &amp; month output plan]],1)+2,COLUMN(Output_Table[[#This Row],[Out qty]]),4,1)</f>
        <v>K63</v>
      </c>
      <c r="Y62" s="57" t="str">
        <f>ADDRESS(MATCH(Output_Table[[#This Row],[Year &amp; month output plan]],Output_Table[[#All],[Year &amp; month output plan]],0)+2,COLUMN(Output_Table[[#This Row],[In stock (month begins)]]),4,1)</f>
        <v>Q58</v>
      </c>
      <c r="Z62" s="57" t="str">
        <f>ADDRESS(MATCH(Output_Table[[#This Row],[Year &amp; month output plan]],Output_Table[[#All],[Year &amp; month output plan]],0)+2,COLUMN(Output_Table[[#This Row],[Month plan]]),4,1)</f>
        <v>R58</v>
      </c>
      <c r="AA62" s="57">
        <f>IF(MATCH(Output_Table[[#This Row],[Year &amp; month output plan]],Output_Table[[#All],[Year &amp; month output plan]],0)+2=ROW(Output_Table[[#This Row],[Job]]),1,0)</f>
        <v>0</v>
      </c>
      <c r="AB62" s="57">
        <f>IF(MATCH(Output_Table[[#This Row],[Year &amp; month output plan]],Output_Table[[#All],[Year &amp; month output plan]],1)+2=ROW(Output_Table[[#This Row],[Job]]),1,0)</f>
        <v>0</v>
      </c>
      <c r="AC62" s="57">
        <f>IFERROR(VALUE(LEFT(Output_Table[[#This Row],[Progress]],2)),"")</f>
        <v>20</v>
      </c>
    </row>
    <row r="63" spans="1:29" x14ac:dyDescent="0.25">
      <c r="A63" s="76" t="s">
        <v>174</v>
      </c>
      <c r="B63" s="41">
        <v>43130</v>
      </c>
      <c r="C63" s="33">
        <v>8</v>
      </c>
      <c r="D63" s="33" t="s">
        <v>5</v>
      </c>
      <c r="E63" s="33" t="s">
        <v>180</v>
      </c>
      <c r="F63" s="41">
        <v>43136</v>
      </c>
      <c r="G63" s="33" t="s">
        <v>42</v>
      </c>
      <c r="H63" s="84">
        <f>_xlfn.IFNA(VLOOKUP(Output_Table[[#This Row],[Progress]],ProgressCalculation_List,6,FALSE),"")</f>
        <v>1.0000000000000002</v>
      </c>
      <c r="I63" s="85"/>
      <c r="J63" s="87">
        <v>43147</v>
      </c>
      <c r="K63" s="88">
        <v>8</v>
      </c>
      <c r="L63" s="90"/>
      <c r="M63" s="45">
        <v>43130.65625</v>
      </c>
      <c r="N63" s="33"/>
      <c r="O63" s="55">
        <f ca="1">IFERROR(INDIRECT(Output_Table[[#This Row],[Month plan begins]])-INDIRECT(Output_Table[[#This Row],[In stock Month begins]])-Output_Table[[#This Row],[Assembled]],0)</f>
        <v>-41</v>
      </c>
      <c r="P63" s="71">
        <f ca="1">IFERROR(SUBTOTAL(109,INDIRECT(Output_Table[[#This Row],[First cell]]):INDIRECT(Output_Table[[#This Row],[Last cell]])),0)</f>
        <v>41</v>
      </c>
      <c r="Q63" s="29"/>
      <c r="R63" s="29"/>
      <c r="S63" s="29" t="s">
        <v>91</v>
      </c>
      <c r="T63" s="61">
        <v>2018</v>
      </c>
      <c r="U63" s="57">
        <f>_xlfn.NUMBERVALUE(Output_Table[[#This Row],[Year]]&amp;TEXT(_xlfn.IFNA(VLOOKUP(Output_Table[[#This Row],[Output month]],OutupMonth_Table[],2,FALSE),""),"00"))</f>
        <v>201802</v>
      </c>
      <c r="V63" s="57">
        <f>_xlfn.NUMBERVALUE(YEAR(Output_Table[[#This Row],[Out by]])&amp; TEXT(MONTH(Output_Table[[#This Row],[Out by]]),"00"))</f>
        <v>201802</v>
      </c>
      <c r="W63" s="57" t="str">
        <f>ADDRESS(MATCH(Output_Table[[#This Row],[Year &amp; month output plan]],Output_Table[[#All],[Year &amp; month output plan]],0)+2,COLUMN(Output_Table[[#This Row],[Out qty]]),4,1)</f>
        <v>K58</v>
      </c>
      <c r="X63" s="57" t="str">
        <f>ADDRESS(MATCH(Output_Table[[#This Row],[Year &amp; month output plan]],Output_Table[[#All],[Year &amp; month output plan]],1)+2,COLUMN(Output_Table[[#This Row],[Out qty]]),4,1)</f>
        <v>K63</v>
      </c>
      <c r="Y63" s="57" t="str">
        <f>ADDRESS(MATCH(Output_Table[[#This Row],[Year &amp; month output plan]],Output_Table[[#All],[Year &amp; month output plan]],0)+2,COLUMN(Output_Table[[#This Row],[In stock (month begins)]]),4,1)</f>
        <v>Q58</v>
      </c>
      <c r="Z63" s="57" t="str">
        <f>ADDRESS(MATCH(Output_Table[[#This Row],[Year &amp; month output plan]],Output_Table[[#All],[Year &amp; month output plan]],0)+2,COLUMN(Output_Table[[#This Row],[Month plan]]),4,1)</f>
        <v>R58</v>
      </c>
      <c r="AA63" s="57">
        <f>IF(MATCH(Output_Table[[#This Row],[Year &amp; month output plan]],Output_Table[[#All],[Year &amp; month output plan]],0)+2=ROW(Output_Table[[#This Row],[Job]]),1,0)</f>
        <v>0</v>
      </c>
      <c r="AB63" s="57">
        <f>IF(MATCH(Output_Table[[#This Row],[Year &amp; month output plan]],Output_Table[[#All],[Year &amp; month output plan]],1)+2=ROW(Output_Table[[#This Row],[Job]]),1,0)</f>
        <v>1</v>
      </c>
      <c r="AC63" s="57">
        <f>IFERROR(VALUE(LEFT(Output_Table[[#This Row],[Progress]],2)),"")</f>
        <v>20</v>
      </c>
    </row>
    <row r="64" spans="1:29" ht="45" x14ac:dyDescent="0.25">
      <c r="A64" s="76" t="s">
        <v>175</v>
      </c>
      <c r="B64" s="41">
        <v>43130</v>
      </c>
      <c r="C64" s="33">
        <v>8</v>
      </c>
      <c r="D64" s="33" t="s">
        <v>5</v>
      </c>
      <c r="E64" s="33" t="s">
        <v>179</v>
      </c>
      <c r="F64" s="41">
        <v>43136</v>
      </c>
      <c r="G64" s="33" t="s">
        <v>42</v>
      </c>
      <c r="H64" s="84">
        <f>_xlfn.IFNA(VLOOKUP(Output_Table[[#This Row],[Progress]],ProgressCalculation_List,6,FALSE),"")</f>
        <v>1.0000000000000002</v>
      </c>
      <c r="I64" s="85"/>
      <c r="J64" s="87">
        <v>43147</v>
      </c>
      <c r="K64" s="88">
        <v>7</v>
      </c>
      <c r="L64" s="36" t="s">
        <v>182</v>
      </c>
      <c r="M64" s="45">
        <v>43133.5</v>
      </c>
      <c r="N64" s="33"/>
      <c r="O64" s="55">
        <f ca="1">IFERROR(INDIRECT(Output_Table[[#This Row],[Month plan begins]])-INDIRECT(Output_Table[[#This Row],[In stock Month begins]])-Output_Table[[#This Row],[Assembled]],0)</f>
        <v>-15</v>
      </c>
      <c r="P64" s="71">
        <f ca="1">IFERROR(SUBTOTAL(109,INDIRECT(Output_Table[[#This Row],[First cell]]):INDIRECT(Output_Table[[#This Row],[Last cell]])),0)</f>
        <v>15</v>
      </c>
      <c r="Q64" s="29">
        <v>0</v>
      </c>
      <c r="R64" s="29">
        <v>0</v>
      </c>
      <c r="S64" s="29" t="s">
        <v>92</v>
      </c>
      <c r="T64" s="61">
        <v>2018</v>
      </c>
      <c r="U64" s="57">
        <f>_xlfn.NUMBERVALUE(Output_Table[[#This Row],[Year]]&amp;TEXT(_xlfn.IFNA(VLOOKUP(Output_Table[[#This Row],[Output month]],OutupMonth_Table[],2,FALSE),""),"00"))</f>
        <v>201803</v>
      </c>
      <c r="V64" s="57">
        <f>_xlfn.NUMBERVALUE(YEAR(Output_Table[[#This Row],[Out by]])&amp; TEXT(MONTH(Output_Table[[#This Row],[Out by]]),"00"))</f>
        <v>201802</v>
      </c>
      <c r="W64" s="57" t="str">
        <f>ADDRESS(MATCH(Output_Table[[#This Row],[Year &amp; month output plan]],Output_Table[[#All],[Year &amp; month output plan]],0)+2,COLUMN(Output_Table[[#This Row],[Out qty]]),4,1)</f>
        <v>K64</v>
      </c>
      <c r="X64" s="57" t="str">
        <f>ADDRESS(MATCH(Output_Table[[#This Row],[Year &amp; month output plan]],Output_Table[[#All],[Year &amp; month output plan]],1)+2,COLUMN(Output_Table[[#This Row],[Out qty]]),4,1)</f>
        <v>K65</v>
      </c>
      <c r="Y64" s="57" t="str">
        <f>ADDRESS(MATCH(Output_Table[[#This Row],[Year &amp; month output plan]],Output_Table[[#All],[Year &amp; month output plan]],0)+2,COLUMN(Output_Table[[#This Row],[In stock (month begins)]]),4,1)</f>
        <v>Q64</v>
      </c>
      <c r="Z64" s="57" t="str">
        <f>ADDRESS(MATCH(Output_Table[[#This Row],[Year &amp; month output plan]],Output_Table[[#All],[Year &amp; month output plan]],0)+2,COLUMN(Output_Table[[#This Row],[Month plan]]),4,1)</f>
        <v>R64</v>
      </c>
      <c r="AA64" s="57">
        <f>IF(MATCH(Output_Table[[#This Row],[Year &amp; month output plan]],Output_Table[[#All],[Year &amp; month output plan]],0)+2=ROW(Output_Table[[#This Row],[Job]]),1,0)</f>
        <v>1</v>
      </c>
      <c r="AB64" s="57">
        <f>IF(MATCH(Output_Table[[#This Row],[Year &amp; month output plan]],Output_Table[[#All],[Year &amp; month output plan]],1)+2=ROW(Output_Table[[#This Row],[Job]]),1,0)</f>
        <v>0</v>
      </c>
      <c r="AC64" s="57">
        <f>IFERROR(VALUE(LEFT(Output_Table[[#This Row],[Progress]],2)),"")</f>
        <v>20</v>
      </c>
    </row>
    <row r="65" spans="1:29" x14ac:dyDescent="0.25">
      <c r="A65" s="76" t="s">
        <v>181</v>
      </c>
      <c r="B65" s="41">
        <v>43138</v>
      </c>
      <c r="C65" s="33">
        <v>8</v>
      </c>
      <c r="D65" s="33" t="s">
        <v>5</v>
      </c>
      <c r="E65" s="33"/>
      <c r="F65" s="33"/>
      <c r="G65" s="33" t="s">
        <v>42</v>
      </c>
      <c r="H65" s="84">
        <f>_xlfn.IFNA(VLOOKUP(Output_Table[[#This Row],[Progress]],ProgressCalculation_List,6,FALSE),"")</f>
        <v>1.0000000000000002</v>
      </c>
      <c r="I65" s="85"/>
      <c r="J65" s="87">
        <v>43154</v>
      </c>
      <c r="K65" s="88">
        <v>8</v>
      </c>
      <c r="L65" s="90"/>
      <c r="M65" s="45">
        <v>43139.585416666669</v>
      </c>
      <c r="N65" s="33"/>
      <c r="O65" s="55">
        <f ca="1">IFERROR(INDIRECT(Output_Table[[#This Row],[Month plan begins]])-INDIRECT(Output_Table[[#This Row],[In stock Month begins]])-Output_Table[[#This Row],[Assembled]],0)</f>
        <v>-15</v>
      </c>
      <c r="P65" s="71">
        <f ca="1">IFERROR(SUBTOTAL(109,INDIRECT(Output_Table[[#This Row],[First cell]]):INDIRECT(Output_Table[[#This Row],[Last cell]])),0)</f>
        <v>15</v>
      </c>
      <c r="Q65" s="29"/>
      <c r="R65" s="29"/>
      <c r="S65" s="29" t="s">
        <v>92</v>
      </c>
      <c r="T65" s="61">
        <v>2018</v>
      </c>
      <c r="U65" s="57">
        <f>_xlfn.NUMBERVALUE(Output_Table[[#This Row],[Year]]&amp;TEXT(_xlfn.IFNA(VLOOKUP(Output_Table[[#This Row],[Output month]],OutupMonth_Table[],2,FALSE),""),"00"))</f>
        <v>201803</v>
      </c>
      <c r="V65" s="57">
        <f>_xlfn.NUMBERVALUE(YEAR(Output_Table[[#This Row],[Out by]])&amp; TEXT(MONTH(Output_Table[[#This Row],[Out by]]),"00"))</f>
        <v>201802</v>
      </c>
      <c r="W65" s="57" t="str">
        <f>ADDRESS(MATCH(Output_Table[[#This Row],[Year &amp; month output plan]],Output_Table[[#All],[Year &amp; month output plan]],0)+2,COLUMN(Output_Table[[#This Row],[Out qty]]),4,1)</f>
        <v>K64</v>
      </c>
      <c r="X65" s="57" t="str">
        <f>ADDRESS(MATCH(Output_Table[[#This Row],[Year &amp; month output plan]],Output_Table[[#All],[Year &amp; month output plan]],1)+2,COLUMN(Output_Table[[#This Row],[Out qty]]),4,1)</f>
        <v>K65</v>
      </c>
      <c r="Y65" s="57" t="str">
        <f>ADDRESS(MATCH(Output_Table[[#This Row],[Year &amp; month output plan]],Output_Table[[#All],[Year &amp; month output plan]],0)+2,COLUMN(Output_Table[[#This Row],[In stock (month begins)]]),4,1)</f>
        <v>Q64</v>
      </c>
      <c r="Z65" s="57" t="str">
        <f>ADDRESS(MATCH(Output_Table[[#This Row],[Year &amp; month output plan]],Output_Table[[#All],[Year &amp; month output plan]],0)+2,COLUMN(Output_Table[[#This Row],[Month plan]]),4,1)</f>
        <v>R64</v>
      </c>
      <c r="AA65" s="57">
        <f>IF(MATCH(Output_Table[[#This Row],[Year &amp; month output plan]],Output_Table[[#All],[Year &amp; month output plan]],0)+2=ROW(Output_Table[[#This Row],[Job]]),1,0)</f>
        <v>0</v>
      </c>
      <c r="AB65" s="57">
        <f>IF(MATCH(Output_Table[[#This Row],[Year &amp; month output plan]],Output_Table[[#All],[Year &amp; month output plan]],1)+2=ROW(Output_Table[[#This Row],[Job]]),1,0)</f>
        <v>1</v>
      </c>
      <c r="AC65" s="57">
        <f>IFERROR(VALUE(LEFT(Output_Table[[#This Row],[Progress]],2)),"")</f>
        <v>20</v>
      </c>
    </row>
    <row r="66" spans="1:29" x14ac:dyDescent="0.25">
      <c r="A66" s="76"/>
      <c r="B66" s="41"/>
      <c r="C66" s="33"/>
      <c r="D66" s="33"/>
      <c r="E66" s="33"/>
      <c r="F66" s="33"/>
      <c r="G66" s="33" t="s">
        <v>176</v>
      </c>
      <c r="H66" s="84">
        <f>_xlfn.IFNA(VLOOKUP(Output_Table[[#This Row],[Progress]],ProgressCalculation_List,6,FALSE),"")</f>
        <v>0</v>
      </c>
      <c r="I66" s="85"/>
      <c r="J66" s="87"/>
      <c r="K66" s="88"/>
      <c r="L66" s="90"/>
      <c r="M66" s="33"/>
      <c r="N66" s="55" t="s">
        <v>184</v>
      </c>
      <c r="O66" s="55">
        <f ca="1">IFERROR(INDIRECT(Output_Table[[#This Row],[Month plan begins]])-INDIRECT(Output_Table[[#This Row],[In stock Month begins]])-Output_Table[[#This Row],[Assembled]],0)</f>
        <v>0</v>
      </c>
      <c r="P66" s="71">
        <f ca="1">IFERROR(SUBTOTAL(109,INDIRECT(Output_Table[[#This Row],[First cell]]):INDIRECT(Output_Table[[#This Row],[Last cell]])),0)</f>
        <v>0</v>
      </c>
      <c r="Q66" s="29">
        <v>0</v>
      </c>
      <c r="R66" s="29">
        <v>0</v>
      </c>
      <c r="S66" s="29" t="s">
        <v>93</v>
      </c>
      <c r="T66" s="61">
        <v>2018</v>
      </c>
      <c r="U66" s="57">
        <f>_xlfn.NUMBERVALUE(Output_Table[[#This Row],[Year]]&amp;TEXT(_xlfn.IFNA(VLOOKUP(Output_Table[[#This Row],[Output month]],OutupMonth_Table[],2,FALSE),""),"00"))</f>
        <v>201804</v>
      </c>
      <c r="V66" s="57">
        <f>_xlfn.NUMBERVALUE(YEAR(Output_Table[[#This Row],[Out by]])&amp; TEXT(MONTH(Output_Table[[#This Row],[Out by]]),"00"))</f>
        <v>190001</v>
      </c>
      <c r="W66" s="57" t="str">
        <f>ADDRESS(MATCH(Output_Table[[#This Row],[Year &amp; month output plan]],Output_Table[[#All],[Year &amp; month output plan]],0)+2,COLUMN(Output_Table[[#This Row],[Out qty]]),4,1)</f>
        <v>K66</v>
      </c>
      <c r="X66" s="57" t="str">
        <f>ADDRESS(MATCH(Output_Table[[#This Row],[Year &amp; month output plan]],Output_Table[[#All],[Year &amp; month output plan]],1)+2,COLUMN(Output_Table[[#This Row],[Out qty]]),4,1)</f>
        <v>K66</v>
      </c>
      <c r="Y66" s="57" t="str">
        <f>ADDRESS(MATCH(Output_Table[[#This Row],[Year &amp; month output plan]],Output_Table[[#All],[Year &amp; month output plan]],0)+2,COLUMN(Output_Table[[#This Row],[In stock (month begins)]]),4,1)</f>
        <v>Q66</v>
      </c>
      <c r="Z66" s="57" t="str">
        <f>ADDRESS(MATCH(Output_Table[[#This Row],[Year &amp; month output plan]],Output_Table[[#All],[Year &amp; month output plan]],0)+2,COLUMN(Output_Table[[#This Row],[Month plan]]),4,1)</f>
        <v>R66</v>
      </c>
      <c r="AA66" s="57">
        <f>IF(MATCH(Output_Table[[#This Row],[Year &amp; month output plan]],Output_Table[[#All],[Year &amp; month output plan]],0)+2=ROW(Output_Table[[#This Row],[Job]]),1,0)</f>
        <v>1</v>
      </c>
      <c r="AB66" s="57">
        <f>IF(MATCH(Output_Table[[#This Row],[Year &amp; month output plan]],Output_Table[[#All],[Year &amp; month output plan]],1)+2=ROW(Output_Table[[#This Row],[Job]]),1,0)</f>
        <v>1</v>
      </c>
      <c r="AC66" s="57" t="str">
        <f>IFERROR(VALUE(LEFT(Output_Table[[#This Row],[Progress]],2)),"")</f>
        <v/>
      </c>
    </row>
    <row r="67" spans="1:29" x14ac:dyDescent="0.25">
      <c r="A67" s="76"/>
      <c r="B67" s="41"/>
      <c r="C67" s="33"/>
      <c r="D67" s="33"/>
      <c r="E67" s="33"/>
      <c r="F67" s="33"/>
      <c r="G67" s="33" t="s">
        <v>176</v>
      </c>
      <c r="H67" s="84">
        <f>_xlfn.IFNA(VLOOKUP(Output_Table[[#This Row],[Progress]],ProgressCalculation_List,6,FALSE),"")</f>
        <v>0</v>
      </c>
      <c r="I67" s="85"/>
      <c r="J67" s="87"/>
      <c r="K67" s="88"/>
      <c r="L67" s="90"/>
      <c r="M67" s="33"/>
      <c r="N67" s="55" t="s">
        <v>184</v>
      </c>
      <c r="O67" s="55">
        <f ca="1">IFERROR(INDIRECT(Output_Table[[#This Row],[Month plan begins]])-INDIRECT(Output_Table[[#This Row],[In stock Month begins]])-Output_Table[[#This Row],[Assembled]],0)</f>
        <v>0</v>
      </c>
      <c r="P67" s="71">
        <f ca="1">IFERROR(SUBTOTAL(109,INDIRECT(Output_Table[[#This Row],[First cell]]):INDIRECT(Output_Table[[#This Row],[Last cell]])),0)</f>
        <v>0</v>
      </c>
      <c r="Q67" s="29">
        <v>0</v>
      </c>
      <c r="R67" s="29">
        <v>0</v>
      </c>
      <c r="S67" s="29" t="s">
        <v>94</v>
      </c>
      <c r="T67" s="61">
        <v>2018</v>
      </c>
      <c r="U67" s="57">
        <f>_xlfn.NUMBERVALUE(Output_Table[[#This Row],[Year]]&amp;TEXT(_xlfn.IFNA(VLOOKUP(Output_Table[[#This Row],[Output month]],OutupMonth_Table[],2,FALSE),""),"00"))</f>
        <v>201805</v>
      </c>
      <c r="V67" s="57">
        <f>_xlfn.NUMBERVALUE(YEAR(Output_Table[[#This Row],[Out by]])&amp; TEXT(MONTH(Output_Table[[#This Row],[Out by]]),"00"))</f>
        <v>190001</v>
      </c>
      <c r="W67" s="57" t="str">
        <f>ADDRESS(MATCH(Output_Table[[#This Row],[Year &amp; month output plan]],Output_Table[[#All],[Year &amp; month output plan]],0)+2,COLUMN(Output_Table[[#This Row],[Out qty]]),4,1)</f>
        <v>K67</v>
      </c>
      <c r="X67" s="57" t="str">
        <f>ADDRESS(MATCH(Output_Table[[#This Row],[Year &amp; month output plan]],Output_Table[[#All],[Year &amp; month output plan]],1)+2,COLUMN(Output_Table[[#This Row],[Out qty]]),4,1)</f>
        <v>K67</v>
      </c>
      <c r="Y67" s="57" t="str">
        <f>ADDRESS(MATCH(Output_Table[[#This Row],[Year &amp; month output plan]],Output_Table[[#All],[Year &amp; month output plan]],0)+2,COLUMN(Output_Table[[#This Row],[In stock (month begins)]]),4,1)</f>
        <v>Q67</v>
      </c>
      <c r="Z67" s="57" t="str">
        <f>ADDRESS(MATCH(Output_Table[[#This Row],[Year &amp; month output plan]],Output_Table[[#All],[Year &amp; month output plan]],0)+2,COLUMN(Output_Table[[#This Row],[Month plan]]),4,1)</f>
        <v>R67</v>
      </c>
      <c r="AA67" s="57">
        <f>IF(MATCH(Output_Table[[#This Row],[Year &amp; month output plan]],Output_Table[[#All],[Year &amp; month output plan]],0)+2=ROW(Output_Table[[#This Row],[Job]]),1,0)</f>
        <v>1</v>
      </c>
      <c r="AB67" s="57">
        <f>IF(MATCH(Output_Table[[#This Row],[Year &amp; month output plan]],Output_Table[[#All],[Year &amp; month output plan]],1)+2=ROW(Output_Table[[#This Row],[Job]]),1,0)</f>
        <v>1</v>
      </c>
      <c r="AC67" s="57" t="str">
        <f>IFERROR(VALUE(LEFT(Output_Table[[#This Row],[Progress]],2)),"")</f>
        <v/>
      </c>
    </row>
    <row r="68" spans="1:29" ht="60" x14ac:dyDescent="0.25">
      <c r="A68" s="76" t="s">
        <v>183</v>
      </c>
      <c r="B68" s="41">
        <v>43223</v>
      </c>
      <c r="C68" s="33">
        <v>8</v>
      </c>
      <c r="D68" s="33" t="s">
        <v>5</v>
      </c>
      <c r="E68" s="33"/>
      <c r="F68" s="33"/>
      <c r="G68" s="33" t="s">
        <v>42</v>
      </c>
      <c r="H68" s="84">
        <f>_xlfn.IFNA(VLOOKUP(Output_Table[[#This Row],[Progress]],ProgressCalculation_List,6,FALSE),"")</f>
        <v>1.0000000000000002</v>
      </c>
      <c r="I68" s="85" t="s">
        <v>219</v>
      </c>
      <c r="J68" s="87">
        <v>43257</v>
      </c>
      <c r="K68" s="88">
        <v>8</v>
      </c>
      <c r="L68" s="90"/>
      <c r="M68" s="45">
        <v>43243.493055555555</v>
      </c>
      <c r="N68" s="42" t="s">
        <v>188</v>
      </c>
      <c r="O68" s="55">
        <f ca="1">IFERROR(INDIRECT(Output_Table[[#This Row],[Month plan begins]])-INDIRECT(Output_Table[[#This Row],[In stock Month begins]])-Output_Table[[#This Row],[Assembled]],0)</f>
        <v>-16</v>
      </c>
      <c r="P68" s="71">
        <f ca="1">IFERROR(SUBTOTAL(109,INDIRECT(Output_Table[[#This Row],[First cell]]):INDIRECT(Output_Table[[#This Row],[Last cell]])),0)</f>
        <v>16</v>
      </c>
      <c r="Q68" s="29">
        <v>0</v>
      </c>
      <c r="R68" s="29">
        <v>0</v>
      </c>
      <c r="S68" s="29" t="s">
        <v>95</v>
      </c>
      <c r="T68" s="61">
        <v>2018</v>
      </c>
      <c r="U68" s="57">
        <f>_xlfn.NUMBERVALUE(Output_Table[[#This Row],[Year]]&amp;TEXT(_xlfn.IFNA(VLOOKUP(Output_Table[[#This Row],[Output month]],OutupMonth_Table[],2,FALSE),""),"00"))</f>
        <v>201806</v>
      </c>
      <c r="V68" s="57">
        <f>_xlfn.NUMBERVALUE(YEAR(Output_Table[[#This Row],[Out by]])&amp; TEXT(MONTH(Output_Table[[#This Row],[Out by]]),"00"))</f>
        <v>201806</v>
      </c>
      <c r="W68" s="57" t="str">
        <f>ADDRESS(MATCH(Output_Table[[#This Row],[Year &amp; month output plan]],Output_Table[[#All],[Year &amp; month output plan]],0)+2,COLUMN(Output_Table[[#This Row],[Out qty]]),4,1)</f>
        <v>K68</v>
      </c>
      <c r="X68" s="57" t="str">
        <f>ADDRESS(MATCH(Output_Table[[#This Row],[Year &amp; month output plan]],Output_Table[[#All],[Year &amp; month output plan]],1)+2,COLUMN(Output_Table[[#This Row],[Out qty]]),4,1)</f>
        <v>K69</v>
      </c>
      <c r="Y68" s="57" t="str">
        <f>ADDRESS(MATCH(Output_Table[[#This Row],[Year &amp; month output plan]],Output_Table[[#All],[Year &amp; month output plan]],0)+2,COLUMN(Output_Table[[#This Row],[In stock (month begins)]]),4,1)</f>
        <v>Q68</v>
      </c>
      <c r="Z68" s="57" t="str">
        <f>ADDRESS(MATCH(Output_Table[[#This Row],[Year &amp; month output plan]],Output_Table[[#All],[Year &amp; month output plan]],0)+2,COLUMN(Output_Table[[#This Row],[Month plan]]),4,1)</f>
        <v>R68</v>
      </c>
      <c r="AA68" s="57">
        <f>IF(MATCH(Output_Table[[#This Row],[Year &amp; month output plan]],Output_Table[[#All],[Year &amp; month output plan]],0)+2=ROW(Output_Table[[#This Row],[Job]]),1,0)</f>
        <v>1</v>
      </c>
      <c r="AB68" s="57">
        <f>IF(MATCH(Output_Table[[#This Row],[Year &amp; month output plan]],Output_Table[[#All],[Year &amp; month output plan]],1)+2=ROW(Output_Table[[#This Row],[Job]]),1,0)</f>
        <v>0</v>
      </c>
      <c r="AC68" s="57">
        <f>IFERROR(VALUE(LEFT(Output_Table[[#This Row],[Progress]],2)),"")</f>
        <v>20</v>
      </c>
    </row>
    <row r="69" spans="1:29" x14ac:dyDescent="0.25">
      <c r="A69" s="76" t="s">
        <v>185</v>
      </c>
      <c r="B69" s="41">
        <v>43249</v>
      </c>
      <c r="C69" s="33">
        <v>8</v>
      </c>
      <c r="D69" s="33" t="s">
        <v>5</v>
      </c>
      <c r="E69" s="33" t="s">
        <v>189</v>
      </c>
      <c r="F69" s="41">
        <v>43250</v>
      </c>
      <c r="G69" s="33" t="s">
        <v>42</v>
      </c>
      <c r="H69" s="84">
        <f>_xlfn.IFNA(VLOOKUP(Output_Table[[#This Row],[Progress]],ProgressCalculation_List,6,FALSE),"")</f>
        <v>1.0000000000000002</v>
      </c>
      <c r="I69" s="85" t="s">
        <v>219</v>
      </c>
      <c r="J69" s="87">
        <v>43266</v>
      </c>
      <c r="K69" s="88">
        <v>8</v>
      </c>
      <c r="L69" s="90"/>
      <c r="M69" s="45">
        <v>43252.5</v>
      </c>
      <c r="N69" s="33"/>
      <c r="O69" s="55">
        <f ca="1">IFERROR(INDIRECT(Output_Table[[#This Row],[Month plan begins]])-INDIRECT(Output_Table[[#This Row],[In stock Month begins]])-Output_Table[[#This Row],[Assembled]],0)</f>
        <v>-16</v>
      </c>
      <c r="P69" s="71">
        <f ca="1">IFERROR(SUBTOTAL(109,INDIRECT(Output_Table[[#This Row],[First cell]]):INDIRECT(Output_Table[[#This Row],[Last cell]])),0)</f>
        <v>16</v>
      </c>
      <c r="Q69" s="29"/>
      <c r="R69" s="29"/>
      <c r="S69" s="29" t="s">
        <v>95</v>
      </c>
      <c r="T69" s="61">
        <v>2018</v>
      </c>
      <c r="U69" s="57">
        <f>_xlfn.NUMBERVALUE(Output_Table[[#This Row],[Year]]&amp;TEXT(_xlfn.IFNA(VLOOKUP(Output_Table[[#This Row],[Output month]],OutupMonth_Table[],2,FALSE),""),"00"))</f>
        <v>201806</v>
      </c>
      <c r="V69" s="57">
        <f>_xlfn.NUMBERVALUE(YEAR(Output_Table[[#This Row],[Out by]])&amp; TEXT(MONTH(Output_Table[[#This Row],[Out by]]),"00"))</f>
        <v>201806</v>
      </c>
      <c r="W69" s="57" t="str">
        <f>ADDRESS(MATCH(Output_Table[[#This Row],[Year &amp; month output plan]],Output_Table[[#All],[Year &amp; month output plan]],0)+2,COLUMN(Output_Table[[#This Row],[Out qty]]),4,1)</f>
        <v>K68</v>
      </c>
      <c r="X69" s="57" t="str">
        <f>ADDRESS(MATCH(Output_Table[[#This Row],[Year &amp; month output plan]],Output_Table[[#All],[Year &amp; month output plan]],1)+2,COLUMN(Output_Table[[#This Row],[Out qty]]),4,1)</f>
        <v>K69</v>
      </c>
      <c r="Y69" s="57" t="str">
        <f>ADDRESS(MATCH(Output_Table[[#This Row],[Year &amp; month output plan]],Output_Table[[#All],[Year &amp; month output plan]],0)+2,COLUMN(Output_Table[[#This Row],[In stock (month begins)]]),4,1)</f>
        <v>Q68</v>
      </c>
      <c r="Z69" s="57" t="str">
        <f>ADDRESS(MATCH(Output_Table[[#This Row],[Year &amp; month output plan]],Output_Table[[#All],[Year &amp; month output plan]],0)+2,COLUMN(Output_Table[[#This Row],[Month plan]]),4,1)</f>
        <v>R68</v>
      </c>
      <c r="AA69" s="57">
        <f>IF(MATCH(Output_Table[[#This Row],[Year &amp; month output plan]],Output_Table[[#All],[Year &amp; month output plan]],0)+2=ROW(Output_Table[[#This Row],[Job]]),1,0)</f>
        <v>0</v>
      </c>
      <c r="AB69" s="57">
        <f>IF(MATCH(Output_Table[[#This Row],[Year &amp; month output plan]],Output_Table[[#All],[Year &amp; month output plan]],1)+2=ROW(Output_Table[[#This Row],[Job]]),1,0)</f>
        <v>1</v>
      </c>
      <c r="AC69" s="57">
        <f>IFERROR(VALUE(LEFT(Output_Table[[#This Row],[Progress]],2)),"")</f>
        <v>20</v>
      </c>
    </row>
    <row r="70" spans="1:29" x14ac:dyDescent="0.25">
      <c r="A70" s="76" t="s">
        <v>186</v>
      </c>
      <c r="B70" s="41">
        <v>43249</v>
      </c>
      <c r="C70" s="33">
        <v>8</v>
      </c>
      <c r="D70" s="33" t="s">
        <v>5</v>
      </c>
      <c r="E70" s="33" t="s">
        <v>192</v>
      </c>
      <c r="F70" s="33"/>
      <c r="G70" s="33" t="s">
        <v>42</v>
      </c>
      <c r="H70" s="84">
        <f>_xlfn.IFNA(VLOOKUP(Output_Table[[#This Row],[Progress]],ProgressCalculation_List,6,FALSE),"")</f>
        <v>1.0000000000000002</v>
      </c>
      <c r="I70" s="85" t="s">
        <v>219</v>
      </c>
      <c r="J70" s="87">
        <v>43273</v>
      </c>
      <c r="K70" s="88">
        <v>8</v>
      </c>
      <c r="L70" s="90"/>
      <c r="M70" s="45">
        <v>43259.5</v>
      </c>
      <c r="N70" s="33"/>
      <c r="O70" s="55">
        <f ca="1">IFERROR(INDIRECT(Output_Table[[#This Row],[Month plan begins]])-INDIRECT(Output_Table[[#This Row],[In stock Month begins]])-Output_Table[[#This Row],[Assembled]],0)</f>
        <v>-15</v>
      </c>
      <c r="P70" s="71">
        <f ca="1">IFERROR(SUBTOTAL(109,INDIRECT(Output_Table[[#This Row],[First cell]]):INDIRECT(Output_Table[[#This Row],[Last cell]])),0)</f>
        <v>15</v>
      </c>
      <c r="Q70" s="29">
        <v>0</v>
      </c>
      <c r="R70" s="29">
        <v>0</v>
      </c>
      <c r="S70" s="29" t="s">
        <v>96</v>
      </c>
      <c r="T70" s="61">
        <v>2018</v>
      </c>
      <c r="U70" s="57">
        <f>_xlfn.NUMBERVALUE(Output_Table[[#This Row],[Year]]&amp;TEXT(_xlfn.IFNA(VLOOKUP(Output_Table[[#This Row],[Output month]],OutupMonth_Table[],2,FALSE),""),"00"))</f>
        <v>201807</v>
      </c>
      <c r="V70" s="57">
        <f>_xlfn.NUMBERVALUE(YEAR(Output_Table[[#This Row],[Out by]])&amp; TEXT(MONTH(Output_Table[[#This Row],[Out by]]),"00"))</f>
        <v>201806</v>
      </c>
      <c r="W70" s="57" t="str">
        <f>ADDRESS(MATCH(Output_Table[[#This Row],[Year &amp; month output plan]],Output_Table[[#All],[Year &amp; month output plan]],0)+2,COLUMN(Output_Table[[#This Row],[Out qty]]),4,1)</f>
        <v>K70</v>
      </c>
      <c r="X70" s="57" t="str">
        <f>ADDRESS(MATCH(Output_Table[[#This Row],[Year &amp; month output plan]],Output_Table[[#All],[Year &amp; month output plan]],1)+2,COLUMN(Output_Table[[#This Row],[Out qty]]),4,1)</f>
        <v>K71</v>
      </c>
      <c r="Y70" s="57" t="str">
        <f>ADDRESS(MATCH(Output_Table[[#This Row],[Year &amp; month output plan]],Output_Table[[#All],[Year &amp; month output plan]],0)+2,COLUMN(Output_Table[[#This Row],[In stock (month begins)]]),4,1)</f>
        <v>Q70</v>
      </c>
      <c r="Z70" s="57" t="str">
        <f>ADDRESS(MATCH(Output_Table[[#This Row],[Year &amp; month output plan]],Output_Table[[#All],[Year &amp; month output plan]],0)+2,COLUMN(Output_Table[[#This Row],[Month plan]]),4,1)</f>
        <v>R70</v>
      </c>
      <c r="AA70" s="57">
        <f>IF(MATCH(Output_Table[[#This Row],[Year &amp; month output plan]],Output_Table[[#All],[Year &amp; month output plan]],0)+2=ROW(Output_Table[[#This Row],[Job]]),1,0)</f>
        <v>1</v>
      </c>
      <c r="AB70" s="57">
        <f>IF(MATCH(Output_Table[[#This Row],[Year &amp; month output plan]],Output_Table[[#All],[Year &amp; month output plan]],1)+2=ROW(Output_Table[[#This Row],[Job]]),1,0)</f>
        <v>0</v>
      </c>
      <c r="AC70" s="57">
        <f>IFERROR(VALUE(LEFT(Output_Table[[#This Row],[Progress]],2)),"")</f>
        <v>20</v>
      </c>
    </row>
    <row r="71" spans="1:29" x14ac:dyDescent="0.25">
      <c r="A71" s="76" t="s">
        <v>187</v>
      </c>
      <c r="B71" s="41">
        <v>43249</v>
      </c>
      <c r="C71" s="33">
        <v>8</v>
      </c>
      <c r="D71" s="33" t="s">
        <v>5</v>
      </c>
      <c r="E71" s="33"/>
      <c r="F71" s="33"/>
      <c r="G71" s="33" t="s">
        <v>42</v>
      </c>
      <c r="H71" s="84">
        <f>_xlfn.IFNA(VLOOKUP(Output_Table[[#This Row],[Progress]],ProgressCalculation_List,6,FALSE),"")</f>
        <v>1.0000000000000002</v>
      </c>
      <c r="I71" s="85" t="s">
        <v>219</v>
      </c>
      <c r="J71" s="87">
        <v>43315</v>
      </c>
      <c r="K71" s="88">
        <v>7</v>
      </c>
      <c r="L71" s="90" t="s">
        <v>198</v>
      </c>
      <c r="M71" s="56"/>
      <c r="N71" s="33"/>
      <c r="O71" s="55">
        <f ca="1">IFERROR(INDIRECT(Output_Table[[#This Row],[Month plan begins]])-INDIRECT(Output_Table[[#This Row],[In stock Month begins]])-Output_Table[[#This Row],[Assembled]],0)</f>
        <v>-15</v>
      </c>
      <c r="P71" s="71">
        <f ca="1">IFERROR(SUBTOTAL(109,INDIRECT(Output_Table[[#This Row],[First cell]]):INDIRECT(Output_Table[[#This Row],[Last cell]])),0)</f>
        <v>15</v>
      </c>
      <c r="Q71" s="29"/>
      <c r="R71" s="29"/>
      <c r="S71" s="29" t="s">
        <v>96</v>
      </c>
      <c r="T71" s="61">
        <v>2018</v>
      </c>
      <c r="U71" s="57">
        <f>_xlfn.NUMBERVALUE(Output_Table[[#This Row],[Year]]&amp;TEXT(_xlfn.IFNA(VLOOKUP(Output_Table[[#This Row],[Output month]],OutupMonth_Table[],2,FALSE),""),"00"))</f>
        <v>201807</v>
      </c>
      <c r="V71" s="57">
        <f>_xlfn.NUMBERVALUE(YEAR(Output_Table[[#This Row],[Out by]])&amp; TEXT(MONTH(Output_Table[[#This Row],[Out by]]),"00"))</f>
        <v>201808</v>
      </c>
      <c r="W71" s="57" t="str">
        <f>ADDRESS(MATCH(Output_Table[[#This Row],[Year &amp; month output plan]],Output_Table[[#All],[Year &amp; month output plan]],0)+2,COLUMN(Output_Table[[#This Row],[Out qty]]),4,1)</f>
        <v>K70</v>
      </c>
      <c r="X71" s="57" t="str">
        <f>ADDRESS(MATCH(Output_Table[[#This Row],[Year &amp; month output plan]],Output_Table[[#All],[Year &amp; month output plan]],1)+2,COLUMN(Output_Table[[#This Row],[Out qty]]),4,1)</f>
        <v>K71</v>
      </c>
      <c r="Y71" s="57" t="str">
        <f>ADDRESS(MATCH(Output_Table[[#This Row],[Year &amp; month output plan]],Output_Table[[#All],[Year &amp; month output plan]],0)+2,COLUMN(Output_Table[[#This Row],[In stock (month begins)]]),4,1)</f>
        <v>Q70</v>
      </c>
      <c r="Z71" s="57" t="str">
        <f>ADDRESS(MATCH(Output_Table[[#This Row],[Year &amp; month output plan]],Output_Table[[#All],[Year &amp; month output plan]],0)+2,COLUMN(Output_Table[[#This Row],[Month plan]]),4,1)</f>
        <v>R70</v>
      </c>
      <c r="AA71" s="57">
        <f>IF(MATCH(Output_Table[[#This Row],[Year &amp; month output plan]],Output_Table[[#All],[Year &amp; month output plan]],0)+2=ROW(Output_Table[[#This Row],[Job]]),1,0)</f>
        <v>0</v>
      </c>
      <c r="AB71" s="57">
        <f>IF(MATCH(Output_Table[[#This Row],[Year &amp; month output plan]],Output_Table[[#All],[Year &amp; month output plan]],1)+2=ROW(Output_Table[[#This Row],[Job]]),1,0)</f>
        <v>1</v>
      </c>
      <c r="AC71" s="57">
        <f>IFERROR(VALUE(LEFT(Output_Table[[#This Row],[Progress]],2)),"")</f>
        <v>20</v>
      </c>
    </row>
    <row r="72" spans="1:29" x14ac:dyDescent="0.25">
      <c r="A72" s="76" t="s">
        <v>190</v>
      </c>
      <c r="B72" s="41">
        <v>43291</v>
      </c>
      <c r="C72" s="33">
        <v>8</v>
      </c>
      <c r="D72" s="33" t="s">
        <v>5</v>
      </c>
      <c r="E72" s="33" t="s">
        <v>193</v>
      </c>
      <c r="F72" s="41">
        <v>43292</v>
      </c>
      <c r="G72" s="33" t="s">
        <v>42</v>
      </c>
      <c r="H72" s="84">
        <f>_xlfn.IFNA(VLOOKUP(Output_Table[[#This Row],[Progress]],ProgressCalculation_List,6,FALSE),"")</f>
        <v>1.0000000000000002</v>
      </c>
      <c r="I72" s="85" t="s">
        <v>219</v>
      </c>
      <c r="J72" s="87">
        <v>43315</v>
      </c>
      <c r="K72" s="88">
        <v>8</v>
      </c>
      <c r="L72" s="90"/>
      <c r="M72" s="33"/>
      <c r="N72" s="33"/>
      <c r="O72" s="55">
        <f ca="1">IFERROR(INDIRECT(Output_Table[[#This Row],[Month plan begins]])-INDIRECT(Output_Table[[#This Row],[In stock Month begins]])-Output_Table[[#This Row],[Assembled]],0)</f>
        <v>-9</v>
      </c>
      <c r="P72" s="71">
        <f ca="1">IFERROR(SUBTOTAL(109,INDIRECT(Output_Table[[#This Row],[First cell]]):INDIRECT(Output_Table[[#This Row],[Last cell]])),0)</f>
        <v>40</v>
      </c>
      <c r="Q72" s="29">
        <v>25</v>
      </c>
      <c r="R72" s="29">
        <v>56</v>
      </c>
      <c r="S72" s="29" t="s">
        <v>97</v>
      </c>
      <c r="T72" s="61">
        <v>2018</v>
      </c>
      <c r="U72" s="57">
        <f>_xlfn.NUMBERVALUE(Output_Table[[#This Row],[Year]]&amp;TEXT(_xlfn.IFNA(VLOOKUP(Output_Table[[#This Row],[Output month]],OutupMonth_Table[],2,FALSE),""),"00"))</f>
        <v>201808</v>
      </c>
      <c r="V72" s="57">
        <f>_xlfn.NUMBERVALUE(YEAR(Output_Table[[#This Row],[Out by]])&amp; TEXT(MONTH(Output_Table[[#This Row],[Out by]]),"00"))</f>
        <v>201808</v>
      </c>
      <c r="W72" s="57" t="str">
        <f>ADDRESS(MATCH(Output_Table[[#This Row],[Year &amp; month output plan]],Output_Table[[#All],[Year &amp; month output plan]],0)+2,COLUMN(Output_Table[[#This Row],[Out qty]]),4,1)</f>
        <v>K72</v>
      </c>
      <c r="X72" s="57" t="str">
        <f>ADDRESS(MATCH(Output_Table[[#This Row],[Year &amp; month output plan]],Output_Table[[#All],[Year &amp; month output plan]],1)+2,COLUMN(Output_Table[[#This Row],[Out qty]]),4,1)</f>
        <v>K76</v>
      </c>
      <c r="Y72" s="57" t="str">
        <f>ADDRESS(MATCH(Output_Table[[#This Row],[Year &amp; month output plan]],Output_Table[[#All],[Year &amp; month output plan]],0)+2,COLUMN(Output_Table[[#This Row],[In stock (month begins)]]),4,1)</f>
        <v>Q72</v>
      </c>
      <c r="Z72" s="57" t="str">
        <f>ADDRESS(MATCH(Output_Table[[#This Row],[Year &amp; month output plan]],Output_Table[[#All],[Year &amp; month output plan]],0)+2,COLUMN(Output_Table[[#This Row],[Month plan]]),4,1)</f>
        <v>R72</v>
      </c>
      <c r="AA72" s="57">
        <f>IF(MATCH(Output_Table[[#This Row],[Year &amp; month output plan]],Output_Table[[#All],[Year &amp; month output plan]],0)+2=ROW(Output_Table[[#This Row],[Job]]),1,0)</f>
        <v>1</v>
      </c>
      <c r="AB72" s="57">
        <f>IF(MATCH(Output_Table[[#This Row],[Year &amp; month output plan]],Output_Table[[#All],[Year &amp; month output plan]],1)+2=ROW(Output_Table[[#This Row],[Job]]),1,0)</f>
        <v>0</v>
      </c>
      <c r="AC72" s="57">
        <f>IFERROR(VALUE(LEFT(Output_Table[[#This Row],[Progress]],2)),"")</f>
        <v>20</v>
      </c>
    </row>
    <row r="73" spans="1:29" ht="30" x14ac:dyDescent="0.25">
      <c r="A73" s="76" t="s">
        <v>191</v>
      </c>
      <c r="B73" s="41">
        <v>43291</v>
      </c>
      <c r="C73" s="33">
        <v>8</v>
      </c>
      <c r="D73" s="33" t="s">
        <v>5</v>
      </c>
      <c r="E73" s="42" t="s">
        <v>226</v>
      </c>
      <c r="F73" s="33"/>
      <c r="G73" s="33" t="s">
        <v>42</v>
      </c>
      <c r="H73" s="84">
        <f>_xlfn.IFNA(VLOOKUP(Output_Table[[#This Row],[Progress]],ProgressCalculation_List,6,FALSE),"")</f>
        <v>1.0000000000000002</v>
      </c>
      <c r="I73" s="85" t="s">
        <v>219</v>
      </c>
      <c r="J73" s="87">
        <v>43329</v>
      </c>
      <c r="K73" s="88">
        <v>8</v>
      </c>
      <c r="L73" s="90"/>
      <c r="M73" s="33"/>
      <c r="N73" s="33" t="s">
        <v>211</v>
      </c>
      <c r="O73" s="55">
        <f ca="1">IFERROR(INDIRECT(Output_Table[[#This Row],[Month plan begins]])-INDIRECT(Output_Table[[#This Row],[In stock Month begins]])-Output_Table[[#This Row],[Assembled]],0)</f>
        <v>-9</v>
      </c>
      <c r="P73" s="71">
        <f ca="1">IFERROR(SUBTOTAL(109,INDIRECT(Output_Table[[#This Row],[First cell]]):INDIRECT(Output_Table[[#This Row],[Last cell]])),0)</f>
        <v>40</v>
      </c>
      <c r="Q73" s="29"/>
      <c r="R73" s="29"/>
      <c r="S73" s="29" t="s">
        <v>97</v>
      </c>
      <c r="T73" s="61">
        <v>2018</v>
      </c>
      <c r="U73" s="57">
        <f>_xlfn.NUMBERVALUE(Output_Table[[#This Row],[Year]]&amp;TEXT(_xlfn.IFNA(VLOOKUP(Output_Table[[#This Row],[Output month]],OutupMonth_Table[],2,FALSE),""),"00"))</f>
        <v>201808</v>
      </c>
      <c r="V73" s="57">
        <f>_xlfn.NUMBERVALUE(YEAR(Output_Table[[#This Row],[Out by]])&amp; TEXT(MONTH(Output_Table[[#This Row],[Out by]]),"00"))</f>
        <v>201808</v>
      </c>
      <c r="W73" s="57" t="str">
        <f>ADDRESS(MATCH(Output_Table[[#This Row],[Year &amp; month output plan]],Output_Table[[#All],[Year &amp; month output plan]],0)+2,COLUMN(Output_Table[[#This Row],[Out qty]]),4,1)</f>
        <v>K72</v>
      </c>
      <c r="X73" s="57" t="str">
        <f>ADDRESS(MATCH(Output_Table[[#This Row],[Year &amp; month output plan]],Output_Table[[#All],[Year &amp; month output plan]],1)+2,COLUMN(Output_Table[[#This Row],[Out qty]]),4,1)</f>
        <v>K76</v>
      </c>
      <c r="Y73" s="57" t="str">
        <f>ADDRESS(MATCH(Output_Table[[#This Row],[Year &amp; month output plan]],Output_Table[[#All],[Year &amp; month output plan]],0)+2,COLUMN(Output_Table[[#This Row],[In stock (month begins)]]),4,1)</f>
        <v>Q72</v>
      </c>
      <c r="Z73" s="57" t="str">
        <f>ADDRESS(MATCH(Output_Table[[#This Row],[Year &amp; month output plan]],Output_Table[[#All],[Year &amp; month output plan]],0)+2,COLUMN(Output_Table[[#This Row],[Month plan]]),4,1)</f>
        <v>R72</v>
      </c>
      <c r="AA73" s="57">
        <f>IF(MATCH(Output_Table[[#This Row],[Year &amp; month output plan]],Output_Table[[#All],[Year &amp; month output plan]],0)+2=ROW(Output_Table[[#This Row],[Job]]),1,0)</f>
        <v>0</v>
      </c>
      <c r="AB73" s="57">
        <f>IF(MATCH(Output_Table[[#This Row],[Year &amp; month output plan]],Output_Table[[#All],[Year &amp; month output plan]],1)+2=ROW(Output_Table[[#This Row],[Job]]),1,0)</f>
        <v>0</v>
      </c>
      <c r="AC73" s="57">
        <f>IFERROR(VALUE(LEFT(Output_Table[[#This Row],[Progress]],2)),"")</f>
        <v>20</v>
      </c>
    </row>
    <row r="74" spans="1:29" ht="30" x14ac:dyDescent="0.25">
      <c r="A74" s="76" t="s">
        <v>194</v>
      </c>
      <c r="B74" s="41">
        <v>43305</v>
      </c>
      <c r="C74" s="33">
        <v>8</v>
      </c>
      <c r="D74" s="33" t="s">
        <v>5</v>
      </c>
      <c r="E74" s="33"/>
      <c r="F74" s="33"/>
      <c r="G74" s="33" t="s">
        <v>42</v>
      </c>
      <c r="H74" s="84">
        <f>_xlfn.IFNA(VLOOKUP(Output_Table[[#This Row],[Progress]],ProgressCalculation_List,6,FALSE),"")</f>
        <v>1.0000000000000002</v>
      </c>
      <c r="I74" s="85" t="s">
        <v>219</v>
      </c>
      <c r="J74" s="87">
        <v>43333</v>
      </c>
      <c r="K74" s="88">
        <v>8</v>
      </c>
      <c r="L74" s="90"/>
      <c r="M74" s="33"/>
      <c r="N74" s="42" t="s">
        <v>212</v>
      </c>
      <c r="O74" s="55">
        <f ca="1">IFERROR(INDIRECT(Output_Table[[#This Row],[Month plan begins]])-INDIRECT(Output_Table[[#This Row],[In stock Month begins]])-Output_Table[[#This Row],[Assembled]],0)</f>
        <v>-9</v>
      </c>
      <c r="P74" s="71">
        <f ca="1">IFERROR(SUBTOTAL(109,INDIRECT(Output_Table[[#This Row],[First cell]]):INDIRECT(Output_Table[[#This Row],[Last cell]])),0)</f>
        <v>40</v>
      </c>
      <c r="Q74" s="29"/>
      <c r="R74" s="29"/>
      <c r="S74" s="29" t="s">
        <v>97</v>
      </c>
      <c r="T74" s="61">
        <v>2018</v>
      </c>
      <c r="U74" s="57">
        <f>_xlfn.NUMBERVALUE(Output_Table[[#This Row],[Year]]&amp;TEXT(_xlfn.IFNA(VLOOKUP(Output_Table[[#This Row],[Output month]],OutupMonth_Table[],2,FALSE),""),"00"))</f>
        <v>201808</v>
      </c>
      <c r="V74" s="57">
        <f>_xlfn.NUMBERVALUE(YEAR(Output_Table[[#This Row],[Out by]])&amp; TEXT(MONTH(Output_Table[[#This Row],[Out by]]),"00"))</f>
        <v>201808</v>
      </c>
      <c r="W74" s="57" t="str">
        <f>ADDRESS(MATCH(Output_Table[[#This Row],[Year &amp; month output plan]],Output_Table[[#All],[Year &amp; month output plan]],0)+2,COLUMN(Output_Table[[#This Row],[Out qty]]),4,1)</f>
        <v>K72</v>
      </c>
      <c r="X74" s="57" t="str">
        <f>ADDRESS(MATCH(Output_Table[[#This Row],[Year &amp; month output plan]],Output_Table[[#All],[Year &amp; month output plan]],1)+2,COLUMN(Output_Table[[#This Row],[Out qty]]),4,1)</f>
        <v>K76</v>
      </c>
      <c r="Y74" s="57" t="str">
        <f>ADDRESS(MATCH(Output_Table[[#This Row],[Year &amp; month output plan]],Output_Table[[#All],[Year &amp; month output plan]],0)+2,COLUMN(Output_Table[[#This Row],[In stock (month begins)]]),4,1)</f>
        <v>Q72</v>
      </c>
      <c r="Z74" s="57" t="str">
        <f>ADDRESS(MATCH(Output_Table[[#This Row],[Year &amp; month output plan]],Output_Table[[#All],[Year &amp; month output plan]],0)+2,COLUMN(Output_Table[[#This Row],[Month plan]]),4,1)</f>
        <v>R72</v>
      </c>
      <c r="AA74" s="57">
        <f>IF(MATCH(Output_Table[[#This Row],[Year &amp; month output plan]],Output_Table[[#All],[Year &amp; month output plan]],0)+2=ROW(Output_Table[[#This Row],[Job]]),1,0)</f>
        <v>0</v>
      </c>
      <c r="AB74" s="57">
        <f>IF(MATCH(Output_Table[[#This Row],[Year &amp; month output plan]],Output_Table[[#All],[Year &amp; month output plan]],1)+2=ROW(Output_Table[[#This Row],[Job]]),1,0)</f>
        <v>0</v>
      </c>
      <c r="AC74" s="57">
        <f>IFERROR(VALUE(LEFT(Output_Table[[#This Row],[Progress]],2)),"")</f>
        <v>20</v>
      </c>
    </row>
    <row r="75" spans="1:29" x14ac:dyDescent="0.25">
      <c r="A75" s="76" t="s">
        <v>196</v>
      </c>
      <c r="B75" s="41">
        <v>43307</v>
      </c>
      <c r="C75" s="33">
        <v>8</v>
      </c>
      <c r="D75" s="33" t="s">
        <v>5</v>
      </c>
      <c r="E75" s="33"/>
      <c r="F75" s="33"/>
      <c r="G75" s="33" t="s">
        <v>42</v>
      </c>
      <c r="H75" s="84">
        <f>_xlfn.IFNA(VLOOKUP(Output_Table[[#This Row],[Progress]],ProgressCalculation_List,6,FALSE),"")</f>
        <v>1.0000000000000002</v>
      </c>
      <c r="I75" s="85" t="s">
        <v>219</v>
      </c>
      <c r="J75" s="87">
        <v>43322</v>
      </c>
      <c r="K75" s="88">
        <v>8</v>
      </c>
      <c r="L75" s="90"/>
      <c r="M75" s="33"/>
      <c r="N75" s="33" t="s">
        <v>197</v>
      </c>
      <c r="O75" s="55">
        <f ca="1">IFERROR(INDIRECT(Output_Table[[#This Row],[Month plan begins]])-INDIRECT(Output_Table[[#This Row],[In stock Month begins]])-Output_Table[[#This Row],[Assembled]],0)</f>
        <v>-9</v>
      </c>
      <c r="P75" s="71">
        <f ca="1">IFERROR(SUBTOTAL(109,INDIRECT(Output_Table[[#This Row],[First cell]]):INDIRECT(Output_Table[[#This Row],[Last cell]])),0)</f>
        <v>40</v>
      </c>
      <c r="Q75" s="29"/>
      <c r="R75" s="29"/>
      <c r="S75" s="29" t="s">
        <v>97</v>
      </c>
      <c r="T75" s="61">
        <v>2018</v>
      </c>
      <c r="U75" s="57">
        <f>_xlfn.NUMBERVALUE(Output_Table[[#This Row],[Year]]&amp;TEXT(_xlfn.IFNA(VLOOKUP(Output_Table[[#This Row],[Output month]],OutupMonth_Table[],2,FALSE),""),"00"))</f>
        <v>201808</v>
      </c>
      <c r="V75" s="57">
        <f>_xlfn.NUMBERVALUE(YEAR(Output_Table[[#This Row],[Out by]])&amp; TEXT(MONTH(Output_Table[[#This Row],[Out by]]),"00"))</f>
        <v>201808</v>
      </c>
      <c r="W75" s="57" t="str">
        <f>ADDRESS(MATCH(Output_Table[[#This Row],[Year &amp; month output plan]],Output_Table[[#All],[Year &amp; month output plan]],0)+2,COLUMN(Output_Table[[#This Row],[Out qty]]),4,1)</f>
        <v>K72</v>
      </c>
      <c r="X75" s="57" t="str">
        <f>ADDRESS(MATCH(Output_Table[[#This Row],[Year &amp; month output plan]],Output_Table[[#All],[Year &amp; month output plan]],1)+2,COLUMN(Output_Table[[#This Row],[Out qty]]),4,1)</f>
        <v>K76</v>
      </c>
      <c r="Y75" s="57" t="str">
        <f>ADDRESS(MATCH(Output_Table[[#This Row],[Year &amp; month output plan]],Output_Table[[#All],[Year &amp; month output plan]],0)+2,COLUMN(Output_Table[[#This Row],[In stock (month begins)]]),4,1)</f>
        <v>Q72</v>
      </c>
      <c r="Z75" s="57" t="str">
        <f>ADDRESS(MATCH(Output_Table[[#This Row],[Year &amp; month output plan]],Output_Table[[#All],[Year &amp; month output plan]],0)+2,COLUMN(Output_Table[[#This Row],[Month plan]]),4,1)</f>
        <v>R72</v>
      </c>
      <c r="AA75" s="57">
        <f>IF(MATCH(Output_Table[[#This Row],[Year &amp; month output plan]],Output_Table[[#All],[Year &amp; month output plan]],0)+2=ROW(Output_Table[[#This Row],[Job]]),1,0)</f>
        <v>0</v>
      </c>
      <c r="AB75" s="57">
        <f>IF(MATCH(Output_Table[[#This Row],[Year &amp; month output plan]],Output_Table[[#All],[Year &amp; month output plan]],1)+2=ROW(Output_Table[[#This Row],[Job]]),1,0)</f>
        <v>0</v>
      </c>
      <c r="AC75" s="57">
        <f>IFERROR(VALUE(LEFT(Output_Table[[#This Row],[Progress]],2)),"")</f>
        <v>20</v>
      </c>
    </row>
    <row r="76" spans="1:29" ht="45" x14ac:dyDescent="0.25">
      <c r="A76" s="76" t="s">
        <v>195</v>
      </c>
      <c r="B76" s="41">
        <v>43307</v>
      </c>
      <c r="C76" s="33">
        <v>8</v>
      </c>
      <c r="D76" s="33" t="s">
        <v>5</v>
      </c>
      <c r="E76" s="33"/>
      <c r="F76" s="33"/>
      <c r="G76" s="33" t="s">
        <v>42</v>
      </c>
      <c r="H76" s="84">
        <f>_xlfn.IFNA(VLOOKUP(Output_Table[[#This Row],[Progress]],ProgressCalculation_List,6,FALSE),"")</f>
        <v>1.0000000000000002</v>
      </c>
      <c r="I76" s="85" t="s">
        <v>219</v>
      </c>
      <c r="J76" s="87">
        <v>43326</v>
      </c>
      <c r="K76" s="88">
        <v>8</v>
      </c>
      <c r="L76" s="90"/>
      <c r="M76" s="33"/>
      <c r="N76" s="42" t="s">
        <v>213</v>
      </c>
      <c r="O76" s="55">
        <f ca="1">IFERROR(INDIRECT(Output_Table[[#This Row],[Month plan begins]])-INDIRECT(Output_Table[[#This Row],[In stock Month begins]])-Output_Table[[#This Row],[Assembled]],0)</f>
        <v>-9</v>
      </c>
      <c r="P76" s="71">
        <f ca="1">IFERROR(SUBTOTAL(109,INDIRECT(Output_Table[[#This Row],[First cell]]):INDIRECT(Output_Table[[#This Row],[Last cell]])),0)</f>
        <v>40</v>
      </c>
      <c r="Q76" s="29"/>
      <c r="R76" s="29"/>
      <c r="S76" s="29" t="s">
        <v>97</v>
      </c>
      <c r="T76" s="61">
        <v>2018</v>
      </c>
      <c r="U76" s="57">
        <f>_xlfn.NUMBERVALUE(Output_Table[[#This Row],[Year]]&amp;TEXT(_xlfn.IFNA(VLOOKUP(Output_Table[[#This Row],[Output month]],OutupMonth_Table[],2,FALSE),""),"00"))</f>
        <v>201808</v>
      </c>
      <c r="V76" s="57">
        <f>_xlfn.NUMBERVALUE(YEAR(Output_Table[[#This Row],[Out by]])&amp; TEXT(MONTH(Output_Table[[#This Row],[Out by]]),"00"))</f>
        <v>201808</v>
      </c>
      <c r="W76" s="57" t="str">
        <f>ADDRESS(MATCH(Output_Table[[#This Row],[Year &amp; month output plan]],Output_Table[[#All],[Year &amp; month output plan]],0)+2,COLUMN(Output_Table[[#This Row],[Out qty]]),4,1)</f>
        <v>K72</v>
      </c>
      <c r="X76" s="57" t="str">
        <f>ADDRESS(MATCH(Output_Table[[#This Row],[Year &amp; month output plan]],Output_Table[[#All],[Year &amp; month output plan]],1)+2,COLUMN(Output_Table[[#This Row],[Out qty]]),4,1)</f>
        <v>K76</v>
      </c>
      <c r="Y76" s="57" t="str">
        <f>ADDRESS(MATCH(Output_Table[[#This Row],[Year &amp; month output plan]],Output_Table[[#All],[Year &amp; month output plan]],0)+2,COLUMN(Output_Table[[#This Row],[In stock (month begins)]]),4,1)</f>
        <v>Q72</v>
      </c>
      <c r="Z76" s="57" t="str">
        <f>ADDRESS(MATCH(Output_Table[[#This Row],[Year &amp; month output plan]],Output_Table[[#All],[Year &amp; month output plan]],0)+2,COLUMN(Output_Table[[#This Row],[Month plan]]),4,1)</f>
        <v>R72</v>
      </c>
      <c r="AA76" s="57">
        <f>IF(MATCH(Output_Table[[#This Row],[Year &amp; month output plan]],Output_Table[[#All],[Year &amp; month output plan]],0)+2=ROW(Output_Table[[#This Row],[Job]]),1,0)</f>
        <v>0</v>
      </c>
      <c r="AB76" s="57">
        <f>IF(MATCH(Output_Table[[#This Row],[Year &amp; month output plan]],Output_Table[[#All],[Year &amp; month output plan]],1)+2=ROW(Output_Table[[#This Row],[Job]]),1,0)</f>
        <v>1</v>
      </c>
      <c r="AC76" s="57">
        <f>IFERROR(VALUE(LEFT(Output_Table[[#This Row],[Progress]],2)),"")</f>
        <v>20</v>
      </c>
    </row>
    <row r="77" spans="1:29" x14ac:dyDescent="0.25">
      <c r="A77" s="76" t="s">
        <v>214</v>
      </c>
      <c r="B77" s="41">
        <v>43327</v>
      </c>
      <c r="C77" s="33">
        <v>8</v>
      </c>
      <c r="D77" s="33" t="s">
        <v>5</v>
      </c>
      <c r="E77" s="33"/>
      <c r="F77" s="33"/>
      <c r="G77" s="33" t="s">
        <v>42</v>
      </c>
      <c r="H77" s="84">
        <f>_xlfn.IFNA(VLOOKUP(Output_Table[[#This Row],[Progress]],ProgressCalculation_List,6,FALSE),"")</f>
        <v>1.0000000000000002</v>
      </c>
      <c r="I77" s="86" t="s">
        <v>219</v>
      </c>
      <c r="J77" s="87">
        <v>43364</v>
      </c>
      <c r="K77" s="88">
        <v>8</v>
      </c>
      <c r="L77" s="90"/>
      <c r="M77" s="45">
        <v>43329.5</v>
      </c>
      <c r="N77" s="42" t="s">
        <v>234</v>
      </c>
      <c r="O77" s="55">
        <f ca="1">IFERROR(INDIRECT(Output_Table[[#This Row],[Month plan begins]])-INDIRECT(Output_Table[[#This Row],[In stock Month begins]])-Output_Table[[#This Row],[Assembled]],0)</f>
        <v>6</v>
      </c>
      <c r="P77" s="71">
        <f ca="1">IFERROR(SUBTOTAL(109,INDIRECT(Output_Table[[#This Row],[First cell]]):INDIRECT(Output_Table[[#This Row],[Last cell]])),0)</f>
        <v>39</v>
      </c>
      <c r="Q77" s="29">
        <v>9</v>
      </c>
      <c r="R77" s="29">
        <v>54</v>
      </c>
      <c r="S77" s="29" t="s">
        <v>98</v>
      </c>
      <c r="T77" s="61">
        <v>2018</v>
      </c>
      <c r="U77" s="57">
        <f>_xlfn.NUMBERVALUE(Output_Table[[#This Row],[Year]]&amp;TEXT(_xlfn.IFNA(VLOOKUP(Output_Table[[#This Row],[Output month]],OutupMonth_Table[],2,FALSE),""),"00"))</f>
        <v>201809</v>
      </c>
      <c r="V77" s="57">
        <f>_xlfn.NUMBERVALUE(YEAR(Output_Table[[#This Row],[Out by]])&amp; TEXT(MONTH(Output_Table[[#This Row],[Out by]]),"00"))</f>
        <v>201809</v>
      </c>
      <c r="W77" s="57" t="str">
        <f>ADDRESS(MATCH(Output_Table[[#This Row],[Year &amp; month output plan]],Output_Table[[#All],[Year &amp; month output plan]],0)+2,COLUMN(Output_Table[[#This Row],[Out qty]]),4,1)</f>
        <v>K77</v>
      </c>
      <c r="X77" s="57" t="str">
        <f>ADDRESS(MATCH(Output_Table[[#This Row],[Year &amp; month output plan]],Output_Table[[#All],[Year &amp; month output plan]],1)+2,COLUMN(Output_Table[[#This Row],[Out qty]]),4,1)</f>
        <v>K81</v>
      </c>
      <c r="Y77" s="57" t="str">
        <f>ADDRESS(MATCH(Output_Table[[#This Row],[Year &amp; month output plan]],Output_Table[[#All],[Year &amp; month output plan]],0)+2,COLUMN(Output_Table[[#This Row],[In stock (month begins)]]),4,1)</f>
        <v>Q77</v>
      </c>
      <c r="Z77" s="57" t="str">
        <f>ADDRESS(MATCH(Output_Table[[#This Row],[Year &amp; month output plan]],Output_Table[[#All],[Year &amp; month output plan]],0)+2,COLUMN(Output_Table[[#This Row],[Month plan]]),4,1)</f>
        <v>R77</v>
      </c>
      <c r="AA77" s="57">
        <f>IF(MATCH(Output_Table[[#This Row],[Year &amp; month output plan]],Output_Table[[#All],[Year &amp; month output plan]],0)+2=ROW(Output_Table[[#This Row],[Job]]),1,0)</f>
        <v>1</v>
      </c>
      <c r="AB77" s="57">
        <f>IF(MATCH(Output_Table[[#This Row],[Year &amp; month output plan]],Output_Table[[#All],[Year &amp; month output plan]],1)+2=ROW(Output_Table[[#This Row],[Job]]),1,0)</f>
        <v>0</v>
      </c>
      <c r="AC77" s="57">
        <f>IFERROR(VALUE(LEFT(Output_Table[[#This Row],[Progress]],2)),"")</f>
        <v>20</v>
      </c>
    </row>
    <row r="78" spans="1:29" ht="30" x14ac:dyDescent="0.25">
      <c r="A78" s="76" t="s">
        <v>215</v>
      </c>
      <c r="B78" s="41">
        <v>43327</v>
      </c>
      <c r="C78" s="33">
        <v>8</v>
      </c>
      <c r="D78" s="33" t="s">
        <v>5</v>
      </c>
      <c r="E78" s="36"/>
      <c r="F78" s="33"/>
      <c r="G78" s="33" t="s">
        <v>42</v>
      </c>
      <c r="H78" s="84">
        <f>_xlfn.IFNA(VLOOKUP(Output_Table[[#This Row],[Progress]],ProgressCalculation_List,6,FALSE),"")</f>
        <v>1.0000000000000002</v>
      </c>
      <c r="I78" s="85" t="s">
        <v>219</v>
      </c>
      <c r="J78" s="87">
        <v>43364</v>
      </c>
      <c r="K78" s="88">
        <v>7</v>
      </c>
      <c r="L78" s="90" t="s">
        <v>236</v>
      </c>
      <c r="M78" s="45">
        <v>43329.5</v>
      </c>
      <c r="N78" s="42" t="s">
        <v>220</v>
      </c>
      <c r="O78" s="55">
        <f ca="1">IFERROR(INDIRECT(Output_Table[[#This Row],[Month plan begins]])-INDIRECT(Output_Table[[#This Row],[In stock Month begins]])-Output_Table[[#This Row],[Assembled]],0)</f>
        <v>6</v>
      </c>
      <c r="P78" s="71">
        <f ca="1">IFERROR(SUBTOTAL(109,INDIRECT(Output_Table[[#This Row],[First cell]]):INDIRECT(Output_Table[[#This Row],[Last cell]])),0)</f>
        <v>39</v>
      </c>
      <c r="Q78" s="29"/>
      <c r="R78" s="29"/>
      <c r="S78" s="29" t="s">
        <v>98</v>
      </c>
      <c r="T78" s="61">
        <v>2018</v>
      </c>
      <c r="U78" s="57">
        <f>_xlfn.NUMBERVALUE(Output_Table[[#This Row],[Year]]&amp;TEXT(_xlfn.IFNA(VLOOKUP(Output_Table[[#This Row],[Output month]],OutupMonth_Table[],2,FALSE),""),"00"))</f>
        <v>201809</v>
      </c>
      <c r="V78" s="57">
        <f>_xlfn.NUMBERVALUE(YEAR(Output_Table[[#This Row],[Out by]])&amp; TEXT(MONTH(Output_Table[[#This Row],[Out by]]),"00"))</f>
        <v>201809</v>
      </c>
      <c r="W78" s="57" t="str">
        <f>ADDRESS(MATCH(Output_Table[[#This Row],[Year &amp; month output plan]],Output_Table[[#All],[Year &amp; month output plan]],0)+2,COLUMN(Output_Table[[#This Row],[Out qty]]),4,1)</f>
        <v>K77</v>
      </c>
      <c r="X78" s="57" t="str">
        <f>ADDRESS(MATCH(Output_Table[[#This Row],[Year &amp; month output plan]],Output_Table[[#All],[Year &amp; month output plan]],1)+2,COLUMN(Output_Table[[#This Row],[Out qty]]),4,1)</f>
        <v>K81</v>
      </c>
      <c r="Y78" s="57" t="str">
        <f>ADDRESS(MATCH(Output_Table[[#This Row],[Year &amp; month output plan]],Output_Table[[#All],[Year &amp; month output plan]],0)+2,COLUMN(Output_Table[[#This Row],[In stock (month begins)]]),4,1)</f>
        <v>Q77</v>
      </c>
      <c r="Z78" s="57" t="str">
        <f>ADDRESS(MATCH(Output_Table[[#This Row],[Year &amp; month output plan]],Output_Table[[#All],[Year &amp; month output plan]],0)+2,COLUMN(Output_Table[[#This Row],[Month plan]]),4,1)</f>
        <v>R77</v>
      </c>
      <c r="AA78" s="57">
        <f>IF(MATCH(Output_Table[[#This Row],[Year &amp; month output plan]],Output_Table[[#All],[Year &amp; month output plan]],0)+2=ROW(Output_Table[[#This Row],[Job]]),1,0)</f>
        <v>0</v>
      </c>
      <c r="AB78" s="57">
        <f>IF(MATCH(Output_Table[[#This Row],[Year &amp; month output plan]],Output_Table[[#All],[Year &amp; month output plan]],1)+2=ROW(Output_Table[[#This Row],[Job]]),1,0)</f>
        <v>0</v>
      </c>
      <c r="AC78" s="57">
        <f>IFERROR(VALUE(LEFT(Output_Table[[#This Row],[Progress]],2)),"")</f>
        <v>20</v>
      </c>
    </row>
    <row r="79" spans="1:29" ht="45" x14ac:dyDescent="0.25">
      <c r="A79" s="76" t="s">
        <v>216</v>
      </c>
      <c r="B79" s="41">
        <v>43328</v>
      </c>
      <c r="C79" s="33">
        <v>8</v>
      </c>
      <c r="D79" s="33" t="s">
        <v>5</v>
      </c>
      <c r="E79" s="33"/>
      <c r="F79" s="33"/>
      <c r="G79" s="33" t="s">
        <v>42</v>
      </c>
      <c r="H79" s="84">
        <f>_xlfn.IFNA(VLOOKUP(Output_Table[[#This Row],[Progress]],ProgressCalculation_List,6,FALSE),"")</f>
        <v>1.0000000000000002</v>
      </c>
      <c r="I79" s="85" t="s">
        <v>219</v>
      </c>
      <c r="J79" s="87">
        <v>43356</v>
      </c>
      <c r="K79" s="88">
        <v>8</v>
      </c>
      <c r="L79" s="90"/>
      <c r="M79" s="45">
        <v>43332.5</v>
      </c>
      <c r="N79" s="42" t="s">
        <v>233</v>
      </c>
      <c r="O79" s="55">
        <f ca="1">IFERROR(INDIRECT(Output_Table[[#This Row],[Month plan begins]])-INDIRECT(Output_Table[[#This Row],[In stock Month begins]])-Output_Table[[#This Row],[Assembled]],0)</f>
        <v>6</v>
      </c>
      <c r="P79" s="71">
        <f ca="1">IFERROR(SUBTOTAL(109,INDIRECT(Output_Table[[#This Row],[First cell]]):INDIRECT(Output_Table[[#This Row],[Last cell]])),0)</f>
        <v>39</v>
      </c>
      <c r="Q79" s="29"/>
      <c r="R79" s="29"/>
      <c r="S79" s="29" t="s">
        <v>98</v>
      </c>
      <c r="T79" s="61">
        <v>2018</v>
      </c>
      <c r="U79" s="57">
        <f>_xlfn.NUMBERVALUE(Output_Table[[#This Row],[Year]]&amp;TEXT(_xlfn.IFNA(VLOOKUP(Output_Table[[#This Row],[Output month]],OutupMonth_Table[],2,FALSE),""),"00"))</f>
        <v>201809</v>
      </c>
      <c r="V79" s="57">
        <f>_xlfn.NUMBERVALUE(YEAR(Output_Table[[#This Row],[Out by]])&amp; TEXT(MONTH(Output_Table[[#This Row],[Out by]]),"00"))</f>
        <v>201809</v>
      </c>
      <c r="W79" s="57" t="str">
        <f>ADDRESS(MATCH(Output_Table[[#This Row],[Year &amp; month output plan]],Output_Table[[#All],[Year &amp; month output plan]],0)+2,COLUMN(Output_Table[[#This Row],[Out qty]]),4,1)</f>
        <v>K77</v>
      </c>
      <c r="X79" s="57" t="str">
        <f>ADDRESS(MATCH(Output_Table[[#This Row],[Year &amp; month output plan]],Output_Table[[#All],[Year &amp; month output plan]],1)+2,COLUMN(Output_Table[[#This Row],[Out qty]]),4,1)</f>
        <v>K81</v>
      </c>
      <c r="Y79" s="57" t="str">
        <f>ADDRESS(MATCH(Output_Table[[#This Row],[Year &amp; month output plan]],Output_Table[[#All],[Year &amp; month output plan]],0)+2,COLUMN(Output_Table[[#This Row],[In stock (month begins)]]),4,1)</f>
        <v>Q77</v>
      </c>
      <c r="Z79" s="57" t="str">
        <f>ADDRESS(MATCH(Output_Table[[#This Row],[Year &amp; month output plan]],Output_Table[[#All],[Year &amp; month output plan]],0)+2,COLUMN(Output_Table[[#This Row],[Month plan]]),4,1)</f>
        <v>R77</v>
      </c>
      <c r="AA79" s="57">
        <f>IF(MATCH(Output_Table[[#This Row],[Year &amp; month output plan]],Output_Table[[#All],[Year &amp; month output plan]],0)+2=ROW(Output_Table[[#This Row],[Job]]),1,0)</f>
        <v>0</v>
      </c>
      <c r="AB79" s="57">
        <f>IF(MATCH(Output_Table[[#This Row],[Year &amp; month output plan]],Output_Table[[#All],[Year &amp; month output plan]],1)+2=ROW(Output_Table[[#This Row],[Job]]),1,0)</f>
        <v>0</v>
      </c>
      <c r="AC79" s="57">
        <f>IFERROR(VALUE(LEFT(Output_Table[[#This Row],[Progress]],2)),"")</f>
        <v>20</v>
      </c>
    </row>
    <row r="80" spans="1:29" x14ac:dyDescent="0.25">
      <c r="A80" s="76" t="s">
        <v>221</v>
      </c>
      <c r="B80" s="41">
        <v>43353</v>
      </c>
      <c r="C80" s="33">
        <v>8</v>
      </c>
      <c r="D80" s="33" t="s">
        <v>5</v>
      </c>
      <c r="E80" s="33" t="s">
        <v>227</v>
      </c>
      <c r="F80" s="41">
        <v>43360</v>
      </c>
      <c r="G80" s="33" t="s">
        <v>42</v>
      </c>
      <c r="H80" s="84">
        <f>_xlfn.IFNA(VLOOKUP(Output_Table[[#This Row],[Progress]],ProgressCalculation_List,6,FALSE),"")</f>
        <v>1.0000000000000002</v>
      </c>
      <c r="I80" s="85" t="s">
        <v>219</v>
      </c>
      <c r="J80" s="87">
        <v>43370</v>
      </c>
      <c r="K80" s="88">
        <v>8</v>
      </c>
      <c r="L80" s="90"/>
      <c r="M80" s="41">
        <v>43356</v>
      </c>
      <c r="N80" s="42" t="s">
        <v>242</v>
      </c>
      <c r="O80" s="55">
        <f ca="1">IFERROR(INDIRECT(Output_Table[[#This Row],[Month plan begins]])-INDIRECT(Output_Table[[#This Row],[In stock Month begins]])-Output_Table[[#This Row],[Assembled]],0)</f>
        <v>6</v>
      </c>
      <c r="P80" s="71">
        <f ca="1">IFERROR(SUBTOTAL(109,INDIRECT(Output_Table[[#This Row],[First cell]]):INDIRECT(Output_Table[[#This Row],[Last cell]])),0)</f>
        <v>39</v>
      </c>
      <c r="Q80" s="29"/>
      <c r="R80" s="29"/>
      <c r="S80" s="29" t="s">
        <v>98</v>
      </c>
      <c r="T80" s="61">
        <v>2018</v>
      </c>
      <c r="U80" s="57">
        <f>_xlfn.NUMBERVALUE(Output_Table[[#This Row],[Year]]&amp;TEXT(_xlfn.IFNA(VLOOKUP(Output_Table[[#This Row],[Output month]],OutupMonth_Table[],2,FALSE),""),"00"))</f>
        <v>201809</v>
      </c>
      <c r="V80" s="57">
        <f>_xlfn.NUMBERVALUE(YEAR(Output_Table[[#This Row],[Out by]])&amp; TEXT(MONTH(Output_Table[[#This Row],[Out by]]),"00"))</f>
        <v>201809</v>
      </c>
      <c r="W80" s="57" t="str">
        <f>ADDRESS(MATCH(Output_Table[[#This Row],[Year &amp; month output plan]],Output_Table[[#All],[Year &amp; month output plan]],0)+2,COLUMN(Output_Table[[#This Row],[Out qty]]),4,1)</f>
        <v>K77</v>
      </c>
      <c r="X80" s="57" t="str">
        <f>ADDRESS(MATCH(Output_Table[[#This Row],[Year &amp; month output plan]],Output_Table[[#All],[Year &amp; month output plan]],1)+2,COLUMN(Output_Table[[#This Row],[Out qty]]),4,1)</f>
        <v>K81</v>
      </c>
      <c r="Y80" s="57" t="str">
        <f>ADDRESS(MATCH(Output_Table[[#This Row],[Year &amp; month output plan]],Output_Table[[#All],[Year &amp; month output plan]],0)+2,COLUMN(Output_Table[[#This Row],[In stock (month begins)]]),4,1)</f>
        <v>Q77</v>
      </c>
      <c r="Z80" s="57" t="str">
        <f>ADDRESS(MATCH(Output_Table[[#This Row],[Year &amp; month output plan]],Output_Table[[#All],[Year &amp; month output plan]],0)+2,COLUMN(Output_Table[[#This Row],[Month plan]]),4,1)</f>
        <v>R77</v>
      </c>
      <c r="AA80" s="57">
        <f>IF(MATCH(Output_Table[[#This Row],[Year &amp; month output plan]],Output_Table[[#All],[Year &amp; month output plan]],0)+2=ROW(Output_Table[[#This Row],[Job]]),1,0)</f>
        <v>0</v>
      </c>
      <c r="AB80" s="57">
        <f>IF(MATCH(Output_Table[[#This Row],[Year &amp; month output plan]],Output_Table[[#All],[Year &amp; month output plan]],1)+2=ROW(Output_Table[[#This Row],[Job]]),1,0)</f>
        <v>0</v>
      </c>
      <c r="AC80" s="57">
        <f>IFERROR(VALUE(LEFT(Output_Table[[#This Row],[Progress]],2)),"")</f>
        <v>20</v>
      </c>
    </row>
    <row r="81" spans="1:29" ht="30" x14ac:dyDescent="0.25">
      <c r="A81" s="76" t="s">
        <v>222</v>
      </c>
      <c r="B81" s="41">
        <v>43353</v>
      </c>
      <c r="C81" s="33">
        <v>8</v>
      </c>
      <c r="D81" s="33" t="s">
        <v>5</v>
      </c>
      <c r="E81" s="33" t="s">
        <v>227</v>
      </c>
      <c r="F81" s="41">
        <v>43360</v>
      </c>
      <c r="G81" s="33" t="s">
        <v>42</v>
      </c>
      <c r="H81" s="84">
        <f>_xlfn.IFNA(VLOOKUP(Output_Table[[#This Row],[Progress]],ProgressCalculation_List,6,FALSE),"")</f>
        <v>1.0000000000000002</v>
      </c>
      <c r="I81" s="85" t="s">
        <v>219</v>
      </c>
      <c r="J81" s="87">
        <v>43370</v>
      </c>
      <c r="K81" s="88">
        <v>8</v>
      </c>
      <c r="L81" s="90"/>
      <c r="M81" s="41">
        <v>43357</v>
      </c>
      <c r="N81" s="42" t="s">
        <v>241</v>
      </c>
      <c r="O81" s="55">
        <f ca="1">IFERROR(INDIRECT(Output_Table[[#This Row],[Month plan begins]])-INDIRECT(Output_Table[[#This Row],[In stock Month begins]])-Output_Table[[#This Row],[Assembled]],0)</f>
        <v>6</v>
      </c>
      <c r="P81" s="71">
        <f ca="1">IFERROR(SUBTOTAL(109,INDIRECT(Output_Table[[#This Row],[First cell]]):INDIRECT(Output_Table[[#This Row],[Last cell]])),0)</f>
        <v>39</v>
      </c>
      <c r="Q81" s="29"/>
      <c r="R81" s="29"/>
      <c r="S81" s="29" t="s">
        <v>98</v>
      </c>
      <c r="T81" s="61">
        <v>2018</v>
      </c>
      <c r="U81" s="57">
        <f>_xlfn.NUMBERVALUE(Output_Table[[#This Row],[Year]]&amp;TEXT(_xlfn.IFNA(VLOOKUP(Output_Table[[#This Row],[Output month]],OutupMonth_Table[],2,FALSE),""),"00"))</f>
        <v>201809</v>
      </c>
      <c r="V81" s="57">
        <f>_xlfn.NUMBERVALUE(YEAR(Output_Table[[#This Row],[Out by]])&amp; TEXT(MONTH(Output_Table[[#This Row],[Out by]]),"00"))</f>
        <v>201809</v>
      </c>
      <c r="W81" s="57" t="str">
        <f>ADDRESS(MATCH(Output_Table[[#This Row],[Year &amp; month output plan]],Output_Table[[#All],[Year &amp; month output plan]],0)+2,COLUMN(Output_Table[[#This Row],[Out qty]]),4,1)</f>
        <v>K77</v>
      </c>
      <c r="X81" s="57" t="str">
        <f>ADDRESS(MATCH(Output_Table[[#This Row],[Year &amp; month output plan]],Output_Table[[#All],[Year &amp; month output plan]],1)+2,COLUMN(Output_Table[[#This Row],[Out qty]]),4,1)</f>
        <v>K81</v>
      </c>
      <c r="Y81" s="57" t="str">
        <f>ADDRESS(MATCH(Output_Table[[#This Row],[Year &amp; month output plan]],Output_Table[[#All],[Year &amp; month output plan]],0)+2,COLUMN(Output_Table[[#This Row],[In stock (month begins)]]),4,1)</f>
        <v>Q77</v>
      </c>
      <c r="Z81" s="57" t="str">
        <f>ADDRESS(MATCH(Output_Table[[#This Row],[Year &amp; month output plan]],Output_Table[[#All],[Year &amp; month output plan]],0)+2,COLUMN(Output_Table[[#This Row],[Month plan]]),4,1)</f>
        <v>R77</v>
      </c>
      <c r="AA81" s="57">
        <f>IF(MATCH(Output_Table[[#This Row],[Year &amp; month output plan]],Output_Table[[#All],[Year &amp; month output plan]],0)+2=ROW(Output_Table[[#This Row],[Job]]),1,0)</f>
        <v>0</v>
      </c>
      <c r="AB81" s="57">
        <f>IF(MATCH(Output_Table[[#This Row],[Year &amp; month output plan]],Output_Table[[#All],[Year &amp; month output plan]],1)+2=ROW(Output_Table[[#This Row],[Job]]),1,0)</f>
        <v>1</v>
      </c>
      <c r="AC81" s="57">
        <f>IFERROR(VALUE(LEFT(Output_Table[[#This Row],[Progress]],2)),"")</f>
        <v>20</v>
      </c>
    </row>
    <row r="82" spans="1:29" x14ac:dyDescent="0.25">
      <c r="A82" s="76" t="s">
        <v>223</v>
      </c>
      <c r="B82" s="41">
        <v>43355</v>
      </c>
      <c r="C82" s="33">
        <v>8</v>
      </c>
      <c r="D82" s="33" t="s">
        <v>5</v>
      </c>
      <c r="E82" s="33" t="s">
        <v>227</v>
      </c>
      <c r="F82" s="41">
        <v>43360</v>
      </c>
      <c r="G82" s="33" t="s">
        <v>42</v>
      </c>
      <c r="H82" s="84">
        <f>_xlfn.IFNA(VLOOKUP(Output_Table[[#This Row],[Progress]],ProgressCalculation_List,6,FALSE),"")</f>
        <v>1.0000000000000002</v>
      </c>
      <c r="I82" s="85" t="s">
        <v>219</v>
      </c>
      <c r="J82" s="87">
        <v>43377</v>
      </c>
      <c r="K82" s="88">
        <v>8</v>
      </c>
      <c r="L82" s="90"/>
      <c r="M82" s="45">
        <v>43360.625</v>
      </c>
      <c r="N82" s="33"/>
      <c r="O82" s="55">
        <f ca="1">IFERROR(INDIRECT(Output_Table[[#This Row],[Month plan begins]])-INDIRECT(Output_Table[[#This Row],[In stock Month begins]])-Output_Table[[#This Row],[Assembled]],0)</f>
        <v>2</v>
      </c>
      <c r="P82" s="71">
        <f ca="1">IFERROR(SUBTOTAL(109,INDIRECT(Output_Table[[#This Row],[First cell]]):INDIRECT(Output_Table[[#This Row],[Last cell]])),0)</f>
        <v>80</v>
      </c>
      <c r="Q82" s="29">
        <v>0</v>
      </c>
      <c r="R82" s="29">
        <v>82</v>
      </c>
      <c r="S82" s="29" t="s">
        <v>76</v>
      </c>
      <c r="T82" s="61">
        <v>2018</v>
      </c>
      <c r="U82" s="57">
        <f>_xlfn.NUMBERVALUE(Output_Table[[#This Row],[Year]]&amp;TEXT(_xlfn.IFNA(VLOOKUP(Output_Table[[#This Row],[Output month]],OutupMonth_Table[],2,FALSE),""),"00"))</f>
        <v>201810</v>
      </c>
      <c r="V82" s="57">
        <f>_xlfn.NUMBERVALUE(YEAR(Output_Table[[#This Row],[Out by]])&amp; TEXT(MONTH(Output_Table[[#This Row],[Out by]]),"00"))</f>
        <v>201810</v>
      </c>
      <c r="W82" s="57" t="str">
        <f>ADDRESS(MATCH(Output_Table[[#This Row],[Year &amp; month output plan]],Output_Table[[#All],[Year &amp; month output plan]],0)+2,COLUMN(Output_Table[[#This Row],[Out qty]]),4,1)</f>
        <v>K82</v>
      </c>
      <c r="X82" s="57" t="str">
        <f>ADDRESS(MATCH(Output_Table[[#This Row],[Year &amp; month output plan]],Output_Table[[#All],[Year &amp; month output plan]],1)+2,COLUMN(Output_Table[[#This Row],[Out qty]]),4,1)</f>
        <v>K91</v>
      </c>
      <c r="Y82" s="57" t="str">
        <f>ADDRESS(MATCH(Output_Table[[#This Row],[Year &amp; month output plan]],Output_Table[[#All],[Year &amp; month output plan]],0)+2,COLUMN(Output_Table[[#This Row],[In stock (month begins)]]),4,1)</f>
        <v>Q82</v>
      </c>
      <c r="Z82" s="57" t="str">
        <f>ADDRESS(MATCH(Output_Table[[#This Row],[Year &amp; month output plan]],Output_Table[[#All],[Year &amp; month output plan]],0)+2,COLUMN(Output_Table[[#This Row],[Month plan]]),4,1)</f>
        <v>R82</v>
      </c>
      <c r="AA82" s="57">
        <f>IF(MATCH(Output_Table[[#This Row],[Year &amp; month output plan]],Output_Table[[#All],[Year &amp; month output plan]],0)+2=ROW(Output_Table[[#This Row],[Job]]),1,0)</f>
        <v>1</v>
      </c>
      <c r="AB82" s="57">
        <f>IF(MATCH(Output_Table[[#This Row],[Year &amp; month output plan]],Output_Table[[#All],[Year &amp; month output plan]],1)+2=ROW(Output_Table[[#This Row],[Job]]),1,0)</f>
        <v>0</v>
      </c>
      <c r="AC82" s="57">
        <f>IFERROR(VALUE(LEFT(Output_Table[[#This Row],[Progress]],2)),"")</f>
        <v>20</v>
      </c>
    </row>
    <row r="83" spans="1:29" x14ac:dyDescent="0.25">
      <c r="A83" s="76" t="s">
        <v>224</v>
      </c>
      <c r="B83" s="41">
        <v>43355</v>
      </c>
      <c r="C83" s="33">
        <v>8</v>
      </c>
      <c r="D83" s="33" t="s">
        <v>5</v>
      </c>
      <c r="E83" s="33" t="s">
        <v>227</v>
      </c>
      <c r="F83" s="41">
        <v>43360</v>
      </c>
      <c r="G83" s="33" t="s">
        <v>42</v>
      </c>
      <c r="H83" s="84">
        <f>_xlfn.IFNA(VLOOKUP(Output_Table[[#This Row],[Progress]],ProgressCalculation_List,6,FALSE),"")</f>
        <v>1.0000000000000002</v>
      </c>
      <c r="I83" s="85" t="s">
        <v>219</v>
      </c>
      <c r="J83" s="87">
        <v>43377</v>
      </c>
      <c r="K83" s="88">
        <v>8</v>
      </c>
      <c r="L83" s="90"/>
      <c r="M83" s="45">
        <v>43361.541666666664</v>
      </c>
      <c r="N83" s="33"/>
      <c r="O83" s="55">
        <f ca="1">IFERROR(INDIRECT(Output_Table[[#This Row],[Month plan begins]])-INDIRECT(Output_Table[[#This Row],[In stock Month begins]])-Output_Table[[#This Row],[Assembled]],0)</f>
        <v>2</v>
      </c>
      <c r="P83" s="71">
        <f ca="1">IFERROR(SUBTOTAL(109,INDIRECT(Output_Table[[#This Row],[First cell]]):INDIRECT(Output_Table[[#This Row],[Last cell]])),0)</f>
        <v>80</v>
      </c>
      <c r="Q83" s="29"/>
      <c r="R83" s="29"/>
      <c r="S83" s="29" t="s">
        <v>76</v>
      </c>
      <c r="T83" s="61">
        <v>2018</v>
      </c>
      <c r="U83" s="57">
        <f>_xlfn.NUMBERVALUE(Output_Table[[#This Row],[Year]]&amp;TEXT(_xlfn.IFNA(VLOOKUP(Output_Table[[#This Row],[Output month]],OutupMonth_Table[],2,FALSE),""),"00"))</f>
        <v>201810</v>
      </c>
      <c r="V83" s="57">
        <f>_xlfn.NUMBERVALUE(YEAR(Output_Table[[#This Row],[Out by]])&amp; TEXT(MONTH(Output_Table[[#This Row],[Out by]]),"00"))</f>
        <v>201810</v>
      </c>
      <c r="W83" s="57" t="str">
        <f>ADDRESS(MATCH(Output_Table[[#This Row],[Year &amp; month output plan]],Output_Table[[#All],[Year &amp; month output plan]],0)+2,COLUMN(Output_Table[[#This Row],[Out qty]]),4,1)</f>
        <v>K82</v>
      </c>
      <c r="X83" s="57" t="str">
        <f>ADDRESS(MATCH(Output_Table[[#This Row],[Year &amp; month output plan]],Output_Table[[#All],[Year &amp; month output plan]],1)+2,COLUMN(Output_Table[[#This Row],[Out qty]]),4,1)</f>
        <v>K91</v>
      </c>
      <c r="Y83" s="57" t="str">
        <f>ADDRESS(MATCH(Output_Table[[#This Row],[Year &amp; month output plan]],Output_Table[[#All],[Year &amp; month output plan]],0)+2,COLUMN(Output_Table[[#This Row],[In stock (month begins)]]),4,1)</f>
        <v>Q82</v>
      </c>
      <c r="Z83" s="57" t="str">
        <f>ADDRESS(MATCH(Output_Table[[#This Row],[Year &amp; month output plan]],Output_Table[[#All],[Year &amp; month output plan]],0)+2,COLUMN(Output_Table[[#This Row],[Month plan]]),4,1)</f>
        <v>R82</v>
      </c>
      <c r="AA83" s="57">
        <f>IF(MATCH(Output_Table[[#This Row],[Year &amp; month output plan]],Output_Table[[#All],[Year &amp; month output plan]],0)+2=ROW(Output_Table[[#This Row],[Job]]),1,0)</f>
        <v>0</v>
      </c>
      <c r="AB83" s="57">
        <f>IF(MATCH(Output_Table[[#This Row],[Year &amp; month output plan]],Output_Table[[#All],[Year &amp; month output plan]],1)+2=ROW(Output_Table[[#This Row],[Job]]),1,0)</f>
        <v>0</v>
      </c>
      <c r="AC83" s="57">
        <f>IFERROR(VALUE(LEFT(Output_Table[[#This Row],[Progress]],2)),"")</f>
        <v>20</v>
      </c>
    </row>
    <row r="84" spans="1:29" x14ac:dyDescent="0.25">
      <c r="A84" s="76" t="s">
        <v>225</v>
      </c>
      <c r="B84" s="41">
        <v>43355</v>
      </c>
      <c r="C84" s="33">
        <v>8</v>
      </c>
      <c r="D84" s="33" t="s">
        <v>5</v>
      </c>
      <c r="E84" s="33" t="s">
        <v>227</v>
      </c>
      <c r="F84" s="41">
        <v>43360</v>
      </c>
      <c r="G84" s="33" t="s">
        <v>42</v>
      </c>
      <c r="H84" s="84">
        <f>_xlfn.IFNA(VLOOKUP(Output_Table[[#This Row],[Progress]],ProgressCalculation_List,6,FALSE),"")</f>
        <v>1.0000000000000002</v>
      </c>
      <c r="I84" s="85" t="s">
        <v>219</v>
      </c>
      <c r="J84" s="87">
        <v>43384</v>
      </c>
      <c r="K84" s="88">
        <v>8</v>
      </c>
      <c r="L84" s="90"/>
      <c r="M84" s="45">
        <v>43367.604166666664</v>
      </c>
      <c r="N84" s="42"/>
      <c r="O84" s="55">
        <f ca="1">IFERROR(INDIRECT(Output_Table[[#This Row],[Month plan begins]])-INDIRECT(Output_Table[[#This Row],[In stock Month begins]])-Output_Table[[#This Row],[Assembled]],0)</f>
        <v>2</v>
      </c>
      <c r="P84" s="71">
        <f ca="1">IFERROR(SUBTOTAL(109,INDIRECT(Output_Table[[#This Row],[First cell]]):INDIRECT(Output_Table[[#This Row],[Last cell]])),0)</f>
        <v>80</v>
      </c>
      <c r="Q84" s="29"/>
      <c r="R84" s="29"/>
      <c r="S84" s="29" t="s">
        <v>76</v>
      </c>
      <c r="T84" s="61">
        <v>2018</v>
      </c>
      <c r="U84" s="57">
        <f>_xlfn.NUMBERVALUE(Output_Table[[#This Row],[Year]]&amp;TEXT(_xlfn.IFNA(VLOOKUP(Output_Table[[#This Row],[Output month]],OutupMonth_Table[],2,FALSE),""),"00"))</f>
        <v>201810</v>
      </c>
      <c r="V84" s="57">
        <f>_xlfn.NUMBERVALUE(YEAR(Output_Table[[#This Row],[Out by]])&amp; TEXT(MONTH(Output_Table[[#This Row],[Out by]]),"00"))</f>
        <v>201810</v>
      </c>
      <c r="W84" s="57" t="str">
        <f>ADDRESS(MATCH(Output_Table[[#This Row],[Year &amp; month output plan]],Output_Table[[#All],[Year &amp; month output plan]],0)+2,COLUMN(Output_Table[[#This Row],[Out qty]]),4,1)</f>
        <v>K82</v>
      </c>
      <c r="X84" s="57" t="str">
        <f>ADDRESS(MATCH(Output_Table[[#This Row],[Year &amp; month output plan]],Output_Table[[#All],[Year &amp; month output plan]],1)+2,COLUMN(Output_Table[[#This Row],[Out qty]]),4,1)</f>
        <v>K91</v>
      </c>
      <c r="Y84" s="57" t="str">
        <f>ADDRESS(MATCH(Output_Table[[#This Row],[Year &amp; month output plan]],Output_Table[[#All],[Year &amp; month output plan]],0)+2,COLUMN(Output_Table[[#This Row],[In stock (month begins)]]),4,1)</f>
        <v>Q82</v>
      </c>
      <c r="Z84" s="57" t="str">
        <f>ADDRESS(MATCH(Output_Table[[#This Row],[Year &amp; month output plan]],Output_Table[[#All],[Year &amp; month output plan]],0)+2,COLUMN(Output_Table[[#This Row],[Month plan]]),4,1)</f>
        <v>R82</v>
      </c>
      <c r="AA84" s="57">
        <f>IF(MATCH(Output_Table[[#This Row],[Year &amp; month output plan]],Output_Table[[#All],[Year &amp; month output plan]],0)+2=ROW(Output_Table[[#This Row],[Job]]),1,0)</f>
        <v>0</v>
      </c>
      <c r="AB84" s="57">
        <f>IF(MATCH(Output_Table[[#This Row],[Year &amp; month output plan]],Output_Table[[#All],[Year &amp; month output plan]],1)+2=ROW(Output_Table[[#This Row],[Job]]),1,0)</f>
        <v>0</v>
      </c>
      <c r="AC84" s="57">
        <f>IFERROR(VALUE(LEFT(Output_Table[[#This Row],[Progress]],2)),"")</f>
        <v>20</v>
      </c>
    </row>
    <row r="85" spans="1:29" ht="30" x14ac:dyDescent="0.25">
      <c r="A85" s="76" t="s">
        <v>228</v>
      </c>
      <c r="B85" s="41">
        <v>43360</v>
      </c>
      <c r="C85" s="33">
        <v>8</v>
      </c>
      <c r="D85" s="33" t="s">
        <v>5</v>
      </c>
      <c r="E85" s="42" t="s">
        <v>250</v>
      </c>
      <c r="F85" s="95" t="s">
        <v>251</v>
      </c>
      <c r="G85" s="33" t="s">
        <v>42</v>
      </c>
      <c r="H85" s="84">
        <f>_xlfn.IFNA(VLOOKUP(Output_Table[[#This Row],[Progress]],ProgressCalculation_List,6,FALSE),"")</f>
        <v>1.0000000000000002</v>
      </c>
      <c r="I85" s="85" t="s">
        <v>219</v>
      </c>
      <c r="J85" s="87">
        <v>43398</v>
      </c>
      <c r="K85" s="88">
        <v>8</v>
      </c>
      <c r="L85" s="90"/>
      <c r="M85" s="33"/>
      <c r="N85" s="50"/>
      <c r="O85" s="55">
        <f ca="1">IFERROR(INDIRECT(Output_Table[[#This Row],[Month plan begins]])-INDIRECT(Output_Table[[#This Row],[In stock Month begins]])-Output_Table[[#This Row],[Assembled]],0)</f>
        <v>2</v>
      </c>
      <c r="P85" s="96">
        <f ca="1">IFERROR(SUBTOTAL(109,INDIRECT(Output_Table[[#This Row],[First cell]]):INDIRECT(Output_Table[[#This Row],[Last cell]])),0)</f>
        <v>80</v>
      </c>
      <c r="Q85" s="66"/>
      <c r="R85" s="66"/>
      <c r="S85" s="29" t="s">
        <v>76</v>
      </c>
      <c r="T85" s="61">
        <v>2018</v>
      </c>
      <c r="U85" s="57">
        <f>_xlfn.NUMBERVALUE(Output_Table[[#This Row],[Year]]&amp;TEXT(_xlfn.IFNA(VLOOKUP(Output_Table[[#This Row],[Output month]],OutupMonth_Table[],2,FALSE),""),"00"))</f>
        <v>201810</v>
      </c>
      <c r="V85" s="57">
        <f>_xlfn.NUMBERVALUE(YEAR(Output_Table[[#This Row],[Out by]])&amp; TEXT(MONTH(Output_Table[[#This Row],[Out by]]),"00"))</f>
        <v>201810</v>
      </c>
      <c r="W85" s="57" t="str">
        <f>ADDRESS(MATCH(Output_Table[[#This Row],[Year &amp; month output plan]],Output_Table[[#All],[Year &amp; month output plan]],0)+2,COLUMN(Output_Table[[#This Row],[Out qty]]),4,1)</f>
        <v>K82</v>
      </c>
      <c r="X85" s="57" t="str">
        <f>ADDRESS(MATCH(Output_Table[[#This Row],[Year &amp; month output plan]],Output_Table[[#All],[Year &amp; month output plan]],1)+2,COLUMN(Output_Table[[#This Row],[Out qty]]),4,1)</f>
        <v>K91</v>
      </c>
      <c r="Y85" s="57" t="str">
        <f>ADDRESS(MATCH(Output_Table[[#This Row],[Year &amp; month output plan]],Output_Table[[#All],[Year &amp; month output plan]],0)+2,COLUMN(Output_Table[[#This Row],[In stock (month begins)]]),4,1)</f>
        <v>Q82</v>
      </c>
      <c r="Z85" s="57" t="str">
        <f>ADDRESS(MATCH(Output_Table[[#This Row],[Year &amp; month output plan]],Output_Table[[#All],[Year &amp; month output plan]],0)+2,COLUMN(Output_Table[[#This Row],[Month plan]]),4,1)</f>
        <v>R82</v>
      </c>
      <c r="AA85" s="57">
        <f>IF(MATCH(Output_Table[[#This Row],[Year &amp; month output plan]],Output_Table[[#All],[Year &amp; month output plan]],0)+2=ROW(Output_Table[[#This Row],[Job]]),1,0)</f>
        <v>0</v>
      </c>
      <c r="AB85" s="57">
        <f>IF(MATCH(Output_Table[[#This Row],[Year &amp; month output plan]],Output_Table[[#All],[Year &amp; month output plan]],1)+2=ROW(Output_Table[[#This Row],[Job]]),1,0)</f>
        <v>0</v>
      </c>
      <c r="AC85" s="57">
        <f>IFERROR(VALUE(LEFT(Output_Table[[#This Row],[Progress]],2)),"")</f>
        <v>20</v>
      </c>
    </row>
    <row r="86" spans="1:29" x14ac:dyDescent="0.25">
      <c r="A86" s="76" t="s">
        <v>229</v>
      </c>
      <c r="B86" s="41">
        <v>43361</v>
      </c>
      <c r="C86" s="33">
        <v>8</v>
      </c>
      <c r="D86" s="33" t="s">
        <v>5</v>
      </c>
      <c r="E86" s="33"/>
      <c r="F86" s="33"/>
      <c r="G86" s="33" t="s">
        <v>42</v>
      </c>
      <c r="H86" s="84">
        <f>_xlfn.IFNA(VLOOKUP(Output_Table[[#This Row],[Progress]],ProgressCalculation_List,6,FALSE),"")</f>
        <v>1.0000000000000002</v>
      </c>
      <c r="I86" s="85" t="s">
        <v>219</v>
      </c>
      <c r="J86" s="87">
        <v>43384</v>
      </c>
      <c r="K86" s="88">
        <v>8</v>
      </c>
      <c r="L86" s="90"/>
      <c r="M86" s="45">
        <v>43367.645833333336</v>
      </c>
      <c r="N86" s="42" t="s">
        <v>247</v>
      </c>
      <c r="O86" s="55">
        <f ca="1">IFERROR(INDIRECT(Output_Table[[#This Row],[Month plan begins]])-INDIRECT(Output_Table[[#This Row],[In stock Month begins]])-Output_Table[[#This Row],[Assembled]],0)</f>
        <v>2</v>
      </c>
      <c r="P86" s="96">
        <f ca="1">IFERROR(SUBTOTAL(109,INDIRECT(Output_Table[[#This Row],[First cell]]):INDIRECT(Output_Table[[#This Row],[Last cell]])),0)</f>
        <v>80</v>
      </c>
      <c r="Q86" s="66"/>
      <c r="R86" s="66"/>
      <c r="S86" s="29" t="s">
        <v>76</v>
      </c>
      <c r="T86" s="61">
        <v>2018</v>
      </c>
      <c r="U86" s="57">
        <f>_xlfn.NUMBERVALUE(Output_Table[[#This Row],[Year]]&amp;TEXT(_xlfn.IFNA(VLOOKUP(Output_Table[[#This Row],[Output month]],OutupMonth_Table[],2,FALSE),""),"00"))</f>
        <v>201810</v>
      </c>
      <c r="V86" s="57">
        <f>_xlfn.NUMBERVALUE(YEAR(Output_Table[[#This Row],[Out by]])&amp; TEXT(MONTH(Output_Table[[#This Row],[Out by]]),"00"))</f>
        <v>201810</v>
      </c>
      <c r="W86" s="57" t="str">
        <f>ADDRESS(MATCH(Output_Table[[#This Row],[Year &amp; month output plan]],Output_Table[[#All],[Year &amp; month output plan]],0)+2,COLUMN(Output_Table[[#This Row],[Out qty]]),4,1)</f>
        <v>K82</v>
      </c>
      <c r="X86" s="57" t="str">
        <f>ADDRESS(MATCH(Output_Table[[#This Row],[Year &amp; month output plan]],Output_Table[[#All],[Year &amp; month output plan]],1)+2,COLUMN(Output_Table[[#This Row],[Out qty]]),4,1)</f>
        <v>K91</v>
      </c>
      <c r="Y86" s="57" t="str">
        <f>ADDRESS(MATCH(Output_Table[[#This Row],[Year &amp; month output plan]],Output_Table[[#All],[Year &amp; month output plan]],0)+2,COLUMN(Output_Table[[#This Row],[In stock (month begins)]]),4,1)</f>
        <v>Q82</v>
      </c>
      <c r="Z86" s="57" t="str">
        <f>ADDRESS(MATCH(Output_Table[[#This Row],[Year &amp; month output plan]],Output_Table[[#All],[Year &amp; month output plan]],0)+2,COLUMN(Output_Table[[#This Row],[Month plan]]),4,1)</f>
        <v>R82</v>
      </c>
      <c r="AA86" s="57">
        <f>IF(MATCH(Output_Table[[#This Row],[Year &amp; month output plan]],Output_Table[[#All],[Year &amp; month output plan]],0)+2=ROW(Output_Table[[#This Row],[Job]]),1,0)</f>
        <v>0</v>
      </c>
      <c r="AB86" s="57">
        <f>IF(MATCH(Output_Table[[#This Row],[Year &amp; month output plan]],Output_Table[[#All],[Year &amp; month output plan]],1)+2=ROW(Output_Table[[#This Row],[Job]]),1,0)</f>
        <v>0</v>
      </c>
      <c r="AC86" s="57">
        <f>IFERROR(VALUE(LEFT(Output_Table[[#This Row],[Progress]],2)),"")</f>
        <v>20</v>
      </c>
    </row>
    <row r="87" spans="1:29" ht="30" x14ac:dyDescent="0.25">
      <c r="A87" s="76" t="s">
        <v>230</v>
      </c>
      <c r="B87" s="41">
        <v>43361</v>
      </c>
      <c r="C87" s="33">
        <v>8</v>
      </c>
      <c r="D87" s="33" t="s">
        <v>5</v>
      </c>
      <c r="E87" s="42" t="s">
        <v>239</v>
      </c>
      <c r="F87" s="95" t="s">
        <v>243</v>
      </c>
      <c r="G87" s="33" t="s">
        <v>42</v>
      </c>
      <c r="H87" s="84">
        <f>_xlfn.IFNA(VLOOKUP(Output_Table[[#This Row],[Progress]],ProgressCalculation_List,6,FALSE),"")</f>
        <v>1.0000000000000002</v>
      </c>
      <c r="I87" s="85" t="s">
        <v>219</v>
      </c>
      <c r="J87" s="87">
        <v>43385</v>
      </c>
      <c r="K87" s="88">
        <v>8</v>
      </c>
      <c r="L87" s="90"/>
      <c r="M87" s="45">
        <v>43369.458333333336</v>
      </c>
      <c r="N87" s="42" t="s">
        <v>247</v>
      </c>
      <c r="O87" s="55">
        <f ca="1">IFERROR(INDIRECT(Output_Table[[#This Row],[Month plan begins]])-INDIRECT(Output_Table[[#This Row],[In stock Month begins]])-Output_Table[[#This Row],[Assembled]],0)</f>
        <v>2</v>
      </c>
      <c r="P87" s="96">
        <f ca="1">IFERROR(SUBTOTAL(109,INDIRECT(Output_Table[[#This Row],[First cell]]):INDIRECT(Output_Table[[#This Row],[Last cell]])),0)</f>
        <v>80</v>
      </c>
      <c r="Q87" s="66"/>
      <c r="R87" s="66"/>
      <c r="S87" s="29" t="s">
        <v>76</v>
      </c>
      <c r="T87" s="61">
        <v>2018</v>
      </c>
      <c r="U87" s="57">
        <f>_xlfn.NUMBERVALUE(Output_Table[[#This Row],[Year]]&amp;TEXT(_xlfn.IFNA(VLOOKUP(Output_Table[[#This Row],[Output month]],OutupMonth_Table[],2,FALSE),""),"00"))</f>
        <v>201810</v>
      </c>
      <c r="V87" s="57">
        <f>_xlfn.NUMBERVALUE(YEAR(Output_Table[[#This Row],[Out by]])&amp; TEXT(MONTH(Output_Table[[#This Row],[Out by]]),"00"))</f>
        <v>201810</v>
      </c>
      <c r="W87" s="57" t="str">
        <f>ADDRESS(MATCH(Output_Table[[#This Row],[Year &amp; month output plan]],Output_Table[[#All],[Year &amp; month output plan]],0)+2,COLUMN(Output_Table[[#This Row],[Out qty]]),4,1)</f>
        <v>K82</v>
      </c>
      <c r="X87" s="57" t="str">
        <f>ADDRESS(MATCH(Output_Table[[#This Row],[Year &amp; month output plan]],Output_Table[[#All],[Year &amp; month output plan]],1)+2,COLUMN(Output_Table[[#This Row],[Out qty]]),4,1)</f>
        <v>K91</v>
      </c>
      <c r="Y87" s="57" t="str">
        <f>ADDRESS(MATCH(Output_Table[[#This Row],[Year &amp; month output plan]],Output_Table[[#All],[Year &amp; month output plan]],0)+2,COLUMN(Output_Table[[#This Row],[In stock (month begins)]]),4,1)</f>
        <v>Q82</v>
      </c>
      <c r="Z87" s="57" t="str">
        <f>ADDRESS(MATCH(Output_Table[[#This Row],[Year &amp; month output plan]],Output_Table[[#All],[Year &amp; month output plan]],0)+2,COLUMN(Output_Table[[#This Row],[Month plan]]),4,1)</f>
        <v>R82</v>
      </c>
      <c r="AA87" s="57">
        <f>IF(MATCH(Output_Table[[#This Row],[Year &amp; month output plan]],Output_Table[[#All],[Year &amp; month output plan]],0)+2=ROW(Output_Table[[#This Row],[Job]]),1,0)</f>
        <v>0</v>
      </c>
      <c r="AB87" s="57">
        <f>IF(MATCH(Output_Table[[#This Row],[Year &amp; month output plan]],Output_Table[[#All],[Year &amp; month output plan]],1)+2=ROW(Output_Table[[#This Row],[Job]]),1,0)</f>
        <v>0</v>
      </c>
      <c r="AC87" s="57">
        <f>IFERROR(VALUE(LEFT(Output_Table[[#This Row],[Progress]],2)),"")</f>
        <v>20</v>
      </c>
    </row>
    <row r="88" spans="1:29" ht="15" customHeight="1" x14ac:dyDescent="0.25">
      <c r="A88" s="76" t="s">
        <v>231</v>
      </c>
      <c r="B88" s="41">
        <v>43361</v>
      </c>
      <c r="C88" s="33">
        <v>8</v>
      </c>
      <c r="D88" s="33" t="s">
        <v>5</v>
      </c>
      <c r="E88" s="42" t="s">
        <v>240</v>
      </c>
      <c r="F88" s="47">
        <v>43362</v>
      </c>
      <c r="G88" s="33" t="s">
        <v>42</v>
      </c>
      <c r="H88" s="84">
        <f>_xlfn.IFNA(VLOOKUP(Output_Table[[#This Row],[Progress]],ProgressCalculation_List,6,FALSE),"")</f>
        <v>1.0000000000000002</v>
      </c>
      <c r="I88" s="85" t="s">
        <v>219</v>
      </c>
      <c r="J88" s="87">
        <v>43396</v>
      </c>
      <c r="K88" s="88">
        <v>8</v>
      </c>
      <c r="L88" s="90"/>
      <c r="M88" s="45">
        <v>43370.375</v>
      </c>
      <c r="N88" s="33" t="s">
        <v>245</v>
      </c>
      <c r="O88" s="55">
        <f ca="1">IFERROR(INDIRECT(Output_Table[[#This Row],[Month plan begins]])-INDIRECT(Output_Table[[#This Row],[In stock Month begins]])-Output_Table[[#This Row],[Assembled]],0)</f>
        <v>2</v>
      </c>
      <c r="P88" s="96">
        <f ca="1">IFERROR(SUBTOTAL(109,INDIRECT(Output_Table[[#This Row],[First cell]]):INDIRECT(Output_Table[[#This Row],[Last cell]])),0)</f>
        <v>80</v>
      </c>
      <c r="Q88" s="66"/>
      <c r="R88" s="66"/>
      <c r="S88" s="29" t="s">
        <v>76</v>
      </c>
      <c r="T88" s="61">
        <v>2018</v>
      </c>
      <c r="U88" s="57">
        <f>_xlfn.NUMBERVALUE(Output_Table[[#This Row],[Year]]&amp;TEXT(_xlfn.IFNA(VLOOKUP(Output_Table[[#This Row],[Output month]],OutupMonth_Table[],2,FALSE),""),"00"))</f>
        <v>201810</v>
      </c>
      <c r="V88" s="57">
        <f>_xlfn.NUMBERVALUE(YEAR(Output_Table[[#This Row],[Out by]])&amp; TEXT(MONTH(Output_Table[[#This Row],[Out by]]),"00"))</f>
        <v>201810</v>
      </c>
      <c r="W88" s="57" t="str">
        <f>ADDRESS(MATCH(Output_Table[[#This Row],[Year &amp; month output plan]],Output_Table[[#All],[Year &amp; month output plan]],0)+2,COLUMN(Output_Table[[#This Row],[Out qty]]),4,1)</f>
        <v>K82</v>
      </c>
      <c r="X88" s="57" t="str">
        <f>ADDRESS(MATCH(Output_Table[[#This Row],[Year &amp; month output plan]],Output_Table[[#All],[Year &amp; month output plan]],1)+2,COLUMN(Output_Table[[#This Row],[Out qty]]),4,1)</f>
        <v>K91</v>
      </c>
      <c r="Y88" s="57" t="str">
        <f>ADDRESS(MATCH(Output_Table[[#This Row],[Year &amp; month output plan]],Output_Table[[#All],[Year &amp; month output plan]],0)+2,COLUMN(Output_Table[[#This Row],[In stock (month begins)]]),4,1)</f>
        <v>Q82</v>
      </c>
      <c r="Z88" s="57" t="str">
        <f>ADDRESS(MATCH(Output_Table[[#This Row],[Year &amp; month output plan]],Output_Table[[#All],[Year &amp; month output plan]],0)+2,COLUMN(Output_Table[[#This Row],[Month plan]]),4,1)</f>
        <v>R82</v>
      </c>
      <c r="AA88" s="57">
        <f>IF(MATCH(Output_Table[[#This Row],[Year &amp; month output plan]],Output_Table[[#All],[Year &amp; month output plan]],0)+2=ROW(Output_Table[[#This Row],[Job]]),1,0)</f>
        <v>0</v>
      </c>
      <c r="AB88" s="57">
        <f>IF(MATCH(Output_Table[[#This Row],[Year &amp; month output plan]],Output_Table[[#All],[Year &amp; month output plan]],1)+2=ROW(Output_Table[[#This Row],[Job]]),1,0)</f>
        <v>0</v>
      </c>
      <c r="AC88" s="57">
        <f>IFERROR(VALUE(LEFT(Output_Table[[#This Row],[Progress]],2)),"")</f>
        <v>20</v>
      </c>
    </row>
    <row r="89" spans="1:29" x14ac:dyDescent="0.25">
      <c r="A89" s="76" t="s">
        <v>232</v>
      </c>
      <c r="B89" s="41">
        <v>43361</v>
      </c>
      <c r="C89" s="33">
        <v>8</v>
      </c>
      <c r="D89" s="33" t="s">
        <v>5</v>
      </c>
      <c r="E89" s="33" t="s">
        <v>235</v>
      </c>
      <c r="F89" s="41">
        <v>43362</v>
      </c>
      <c r="G89" s="33" t="s">
        <v>42</v>
      </c>
      <c r="H89" s="84">
        <f>_xlfn.IFNA(VLOOKUP(Output_Table[[#This Row],[Progress]],ProgressCalculation_List,6,FALSE),"")</f>
        <v>1.0000000000000002</v>
      </c>
      <c r="I89" s="85" t="s">
        <v>219</v>
      </c>
      <c r="J89" s="87">
        <v>43396</v>
      </c>
      <c r="K89" s="88">
        <v>8</v>
      </c>
      <c r="L89" s="90"/>
      <c r="M89" s="45">
        <v>43370.645833333336</v>
      </c>
      <c r="N89" s="33" t="s">
        <v>245</v>
      </c>
      <c r="O89" s="55">
        <f ca="1">IFERROR(INDIRECT(Output_Table[[#This Row],[Month plan begins]])-INDIRECT(Output_Table[[#This Row],[In stock Month begins]])-Output_Table[[#This Row],[Assembled]],0)</f>
        <v>2</v>
      </c>
      <c r="P89" s="96">
        <f ca="1">IFERROR(SUBTOTAL(109,INDIRECT(Output_Table[[#This Row],[First cell]]):INDIRECT(Output_Table[[#This Row],[Last cell]])),0)</f>
        <v>80</v>
      </c>
      <c r="Q89" s="66"/>
      <c r="R89" s="57"/>
      <c r="S89" s="29" t="s">
        <v>76</v>
      </c>
      <c r="T89" s="61">
        <v>2018</v>
      </c>
      <c r="U89" s="57">
        <f>_xlfn.NUMBERVALUE(Output_Table[[#This Row],[Year]]&amp;TEXT(_xlfn.IFNA(VLOOKUP(Output_Table[[#This Row],[Output month]],OutupMonth_Table[],2,FALSE),""),"00"))</f>
        <v>201810</v>
      </c>
      <c r="V89" s="57">
        <f>_xlfn.NUMBERVALUE(YEAR(Output_Table[[#This Row],[Out by]])&amp; TEXT(MONTH(Output_Table[[#This Row],[Out by]]),"00"))</f>
        <v>201810</v>
      </c>
      <c r="W89" s="57" t="str">
        <f>ADDRESS(MATCH(Output_Table[[#This Row],[Year &amp; month output plan]],Output_Table[[#All],[Year &amp; month output plan]],0)+2,COLUMN(Output_Table[[#This Row],[Out qty]]),4,1)</f>
        <v>K82</v>
      </c>
      <c r="X89" s="57" t="str">
        <f>ADDRESS(MATCH(Output_Table[[#This Row],[Year &amp; month output plan]],Output_Table[[#All],[Year &amp; month output plan]],1)+2,COLUMN(Output_Table[[#This Row],[Out qty]]),4,1)</f>
        <v>K91</v>
      </c>
      <c r="Y89" s="57" t="str">
        <f>ADDRESS(MATCH(Output_Table[[#This Row],[Year &amp; month output plan]],Output_Table[[#All],[Year &amp; month output plan]],0)+2,COLUMN(Output_Table[[#This Row],[In stock (month begins)]]),4,1)</f>
        <v>Q82</v>
      </c>
      <c r="Z89" s="57" t="str">
        <f>ADDRESS(MATCH(Output_Table[[#This Row],[Year &amp; month output plan]],Output_Table[[#All],[Year &amp; month output plan]],0)+2,COLUMN(Output_Table[[#This Row],[Month plan]]),4,1)</f>
        <v>R82</v>
      </c>
      <c r="AA89" s="57">
        <f>IF(MATCH(Output_Table[[#This Row],[Year &amp; month output plan]],Output_Table[[#All],[Year &amp; month output plan]],0)+2=ROW(Output_Table[[#This Row],[Job]]),1,0)</f>
        <v>0</v>
      </c>
      <c r="AB89" s="57">
        <f>IF(MATCH(Output_Table[[#This Row],[Year &amp; month output plan]],Output_Table[[#All],[Year &amp; month output plan]],1)+2=ROW(Output_Table[[#This Row],[Job]]),1,0)</f>
        <v>0</v>
      </c>
      <c r="AC89" s="57">
        <f>IFERROR(VALUE(LEFT(Output_Table[[#This Row],[Progress]],2)),"")</f>
        <v>20</v>
      </c>
    </row>
    <row r="90" spans="1:29" x14ac:dyDescent="0.25">
      <c r="A90" s="76" t="s">
        <v>244</v>
      </c>
      <c r="B90" s="41">
        <v>43383</v>
      </c>
      <c r="C90" s="33">
        <v>8</v>
      </c>
      <c r="D90" s="33" t="s">
        <v>5</v>
      </c>
      <c r="E90" s="33"/>
      <c r="F90" s="33"/>
      <c r="G90" s="33" t="s">
        <v>42</v>
      </c>
      <c r="H90" s="84">
        <f>_xlfn.IFNA(VLOOKUP(Output_Table[[#This Row],[Progress]],ProgressCalculation_List,6,FALSE),"")</f>
        <v>1.0000000000000002</v>
      </c>
      <c r="I90" s="92" t="s">
        <v>219</v>
      </c>
      <c r="J90" s="93">
        <v>43398</v>
      </c>
      <c r="K90" s="88">
        <v>8</v>
      </c>
      <c r="L90" s="90"/>
      <c r="M90" s="33"/>
      <c r="N90" s="33"/>
      <c r="O90" s="55">
        <f ca="1">IFERROR(INDIRECT(Output_Table[[#This Row],[Month plan begins]])-INDIRECT(Output_Table[[#This Row],[In stock Month begins]])-Output_Table[[#This Row],[Assembled]],0)</f>
        <v>2</v>
      </c>
      <c r="P90" s="96">
        <f ca="1">IFERROR(SUBTOTAL(109,INDIRECT(Output_Table[[#This Row],[First cell]]):INDIRECT(Output_Table[[#This Row],[Last cell]])),0)</f>
        <v>80</v>
      </c>
      <c r="Q90" s="66"/>
      <c r="R90" s="57"/>
      <c r="S90" s="33" t="s">
        <v>76</v>
      </c>
      <c r="T90" s="61">
        <v>2018</v>
      </c>
      <c r="U90" s="57">
        <f>_xlfn.NUMBERVALUE(Output_Table[[#This Row],[Year]]&amp;TEXT(_xlfn.IFNA(VLOOKUP(Output_Table[[#This Row],[Output month]],OutupMonth_Table[],2,FALSE),""),"00"))</f>
        <v>201810</v>
      </c>
      <c r="V90" s="57">
        <f>_xlfn.NUMBERVALUE(YEAR(Output_Table[[#This Row],[Out by]])&amp; TEXT(MONTH(Output_Table[[#This Row],[Out by]]),"00"))</f>
        <v>201810</v>
      </c>
      <c r="W90" s="57" t="str">
        <f>ADDRESS(MATCH(Output_Table[[#This Row],[Year &amp; month output plan]],Output_Table[[#All],[Year &amp; month output plan]],0)+2,COLUMN(Output_Table[[#This Row],[Out qty]]),4,1)</f>
        <v>K82</v>
      </c>
      <c r="X90" s="57" t="str">
        <f>ADDRESS(MATCH(Output_Table[[#This Row],[Year &amp; month output plan]],Output_Table[[#All],[Year &amp; month output plan]],1)+2,COLUMN(Output_Table[[#This Row],[Out qty]]),4,1)</f>
        <v>K91</v>
      </c>
      <c r="Y90" s="57" t="str">
        <f>ADDRESS(MATCH(Output_Table[[#This Row],[Year &amp; month output plan]],Output_Table[[#All],[Year &amp; month output plan]],0)+2,COLUMN(Output_Table[[#This Row],[In stock (month begins)]]),4,1)</f>
        <v>Q82</v>
      </c>
      <c r="Z90" s="57" t="str">
        <f>ADDRESS(MATCH(Output_Table[[#This Row],[Year &amp; month output plan]],Output_Table[[#All],[Year &amp; month output plan]],0)+2,COLUMN(Output_Table[[#This Row],[Month plan]]),4,1)</f>
        <v>R82</v>
      </c>
      <c r="AA90" s="57">
        <f>IF(MATCH(Output_Table[[#This Row],[Year &amp; month output plan]],Output_Table[[#All],[Year &amp; month output plan]],0)+2=ROW(Output_Table[[#This Row],[Job]]),1,0)</f>
        <v>0</v>
      </c>
      <c r="AB90" s="57">
        <f>IF(MATCH(Output_Table[[#This Row],[Year &amp; month output plan]],Output_Table[[#All],[Year &amp; month output plan]],1)+2=ROW(Output_Table[[#This Row],[Job]]),1,0)</f>
        <v>0</v>
      </c>
      <c r="AC90" s="57">
        <f>IFERROR(VALUE(LEFT(Output_Table[[#This Row],[Progress]],2)),"")</f>
        <v>20</v>
      </c>
    </row>
    <row r="91" spans="1:29" x14ac:dyDescent="0.25">
      <c r="A91" s="76" t="s">
        <v>252</v>
      </c>
      <c r="B91" s="41">
        <v>43391</v>
      </c>
      <c r="C91" s="33">
        <v>8</v>
      </c>
      <c r="D91" s="33" t="s">
        <v>5</v>
      </c>
      <c r="E91" s="33"/>
      <c r="F91" s="33"/>
      <c r="G91" s="33" t="s">
        <v>42</v>
      </c>
      <c r="H91" s="84">
        <f>_xlfn.IFNA(VLOOKUP(Output_Table[[#This Row],[Progress]],ProgressCalculation_List,6,FALSE),"")</f>
        <v>1.0000000000000002</v>
      </c>
      <c r="I91" s="92" t="s">
        <v>219</v>
      </c>
      <c r="J91" s="93">
        <v>43404</v>
      </c>
      <c r="K91" s="88">
        <v>8</v>
      </c>
      <c r="L91" s="94"/>
      <c r="M91" s="33"/>
      <c r="N91" s="33"/>
      <c r="O91" s="55">
        <f ca="1">IFERROR(INDIRECT(Output_Table[[#This Row],[Month plan begins]])-INDIRECT(Output_Table[[#This Row],[In stock Month begins]])-Output_Table[[#This Row],[Assembled]],0)</f>
        <v>2</v>
      </c>
      <c r="P91" s="96">
        <f ca="1">IFERROR(SUBTOTAL(109,INDIRECT(Output_Table[[#This Row],[First cell]]):INDIRECT(Output_Table[[#This Row],[Last cell]])),0)</f>
        <v>80</v>
      </c>
      <c r="Q91" s="66"/>
      <c r="R91" s="57"/>
      <c r="S91" s="33" t="s">
        <v>76</v>
      </c>
      <c r="T91" s="61">
        <v>2018</v>
      </c>
      <c r="U91" s="57">
        <f>_xlfn.NUMBERVALUE(Output_Table[[#This Row],[Year]]&amp;TEXT(_xlfn.IFNA(VLOOKUP(Output_Table[[#This Row],[Output month]],OutupMonth_Table[],2,FALSE),""),"00"))</f>
        <v>201810</v>
      </c>
      <c r="V91" s="57">
        <f>_xlfn.NUMBERVALUE(YEAR(Output_Table[[#This Row],[Out by]])&amp; TEXT(MONTH(Output_Table[[#This Row],[Out by]]),"00"))</f>
        <v>201810</v>
      </c>
      <c r="W91" s="57" t="str">
        <f>ADDRESS(MATCH(Output_Table[[#This Row],[Year &amp; month output plan]],Output_Table[[#All],[Year &amp; month output plan]],0)+2,COLUMN(Output_Table[[#This Row],[Out qty]]),4,1)</f>
        <v>K82</v>
      </c>
      <c r="X91" s="57" t="str">
        <f>ADDRESS(MATCH(Output_Table[[#This Row],[Year &amp; month output plan]],Output_Table[[#All],[Year &amp; month output plan]],1)+2,COLUMN(Output_Table[[#This Row],[Out qty]]),4,1)</f>
        <v>K91</v>
      </c>
      <c r="Y91" s="57" t="str">
        <f>ADDRESS(MATCH(Output_Table[[#This Row],[Year &amp; month output plan]],Output_Table[[#All],[Year &amp; month output plan]],0)+2,COLUMN(Output_Table[[#This Row],[In stock (month begins)]]),4,1)</f>
        <v>Q82</v>
      </c>
      <c r="Z91" s="57" t="str">
        <f>ADDRESS(MATCH(Output_Table[[#This Row],[Year &amp; month output plan]],Output_Table[[#All],[Year &amp; month output plan]],0)+2,COLUMN(Output_Table[[#This Row],[Month plan]]),4,1)</f>
        <v>R82</v>
      </c>
      <c r="AA91" s="57">
        <f>IF(MATCH(Output_Table[[#This Row],[Year &amp; month output plan]],Output_Table[[#All],[Year &amp; month output plan]],0)+2=ROW(Output_Table[[#This Row],[Job]]),1,0)</f>
        <v>0</v>
      </c>
      <c r="AB91" s="57">
        <f>IF(MATCH(Output_Table[[#This Row],[Year &amp; month output plan]],Output_Table[[#All],[Year &amp; month output plan]],1)+2=ROW(Output_Table[[#This Row],[Job]]),1,0)</f>
        <v>1</v>
      </c>
      <c r="AC91" s="57">
        <f>IFERROR(VALUE(LEFT(Output_Table[[#This Row],[Progress]],2)),"")</f>
        <v>20</v>
      </c>
    </row>
    <row r="92" spans="1:29" ht="30" x14ac:dyDescent="0.25">
      <c r="A92" s="76" t="s">
        <v>253</v>
      </c>
      <c r="B92" s="41">
        <v>43392</v>
      </c>
      <c r="C92" s="33">
        <v>8</v>
      </c>
      <c r="D92" s="33" t="s">
        <v>5</v>
      </c>
      <c r="E92" s="42" t="s">
        <v>300</v>
      </c>
      <c r="F92" s="95" t="s">
        <v>301</v>
      </c>
      <c r="G92" s="33" t="s">
        <v>42</v>
      </c>
      <c r="H92" s="84">
        <f>_xlfn.IFNA(VLOOKUP(Output_Table[[#This Row],[Progress]],ProgressCalculation_List,6,FALSE),"")</f>
        <v>1.0000000000000002</v>
      </c>
      <c r="I92" s="92" t="s">
        <v>219</v>
      </c>
      <c r="J92" s="93">
        <v>43426</v>
      </c>
      <c r="K92" s="88">
        <v>8</v>
      </c>
      <c r="L92" s="90"/>
      <c r="M92" s="45">
        <v>43404.659722222219</v>
      </c>
      <c r="N92" s="33" t="s">
        <v>173</v>
      </c>
      <c r="O92" s="55">
        <f ca="1">IFERROR(INDIRECT(Output_Table[[#This Row],[Month plan begins]])-INDIRECT(Output_Table[[#This Row],[In stock Month begins]])-Output_Table[[#This Row],[Assembled]],0)</f>
        <v>1</v>
      </c>
      <c r="P92" s="96">
        <f ca="1">IFERROR(SUBTOTAL(109,INDIRECT(Output_Table[[#This Row],[First cell]]):INDIRECT(Output_Table[[#This Row],[Last cell]])),0)</f>
        <v>39</v>
      </c>
      <c r="Q92" s="66">
        <v>0</v>
      </c>
      <c r="R92">
        <v>40</v>
      </c>
      <c r="S92" s="33" t="s">
        <v>88</v>
      </c>
      <c r="T92" s="61">
        <v>2018</v>
      </c>
      <c r="U92" s="57">
        <f>_xlfn.NUMBERVALUE(Output_Table[[#This Row],[Year]]&amp;TEXT(_xlfn.IFNA(VLOOKUP(Output_Table[[#This Row],[Output month]],OutupMonth_Table[],2,FALSE),""),"00"))</f>
        <v>201811</v>
      </c>
      <c r="V92" s="57">
        <f>_xlfn.NUMBERVALUE(YEAR(Output_Table[[#This Row],[Out by]])&amp; TEXT(MONTH(Output_Table[[#This Row],[Out by]]),"00"))</f>
        <v>201811</v>
      </c>
      <c r="W92" s="57" t="str">
        <f>ADDRESS(MATCH(Output_Table[[#This Row],[Year &amp; month output plan]],Output_Table[[#All],[Year &amp; month output plan]],0)+2,COLUMN(Output_Table[[#This Row],[Out qty]]),4,1)</f>
        <v>K92</v>
      </c>
      <c r="X92" s="57" t="str">
        <f>ADDRESS(MATCH(Output_Table[[#This Row],[Year &amp; month output plan]],Output_Table[[#All],[Year &amp; month output plan]],1)+2,COLUMN(Output_Table[[#This Row],[Out qty]]),4,1)</f>
        <v>K96</v>
      </c>
      <c r="Y92" s="57" t="str">
        <f>ADDRESS(MATCH(Output_Table[[#This Row],[Year &amp; month output plan]],Output_Table[[#All],[Year &amp; month output plan]],0)+2,COLUMN(Output_Table[[#This Row],[In stock (month begins)]]),4,1)</f>
        <v>Q92</v>
      </c>
      <c r="Z92" s="57" t="str">
        <f>ADDRESS(MATCH(Output_Table[[#This Row],[Year &amp; month output plan]],Output_Table[[#All],[Year &amp; month output plan]],0)+2,COLUMN(Output_Table[[#This Row],[Month plan]]),4,1)</f>
        <v>R92</v>
      </c>
      <c r="AA92" s="57">
        <f>IF(MATCH(Output_Table[[#This Row],[Year &amp; month output plan]],Output_Table[[#All],[Year &amp; month output plan]],0)+2=ROW(Output_Table[[#This Row],[Job]]),1,0)</f>
        <v>1</v>
      </c>
      <c r="AB92" s="57">
        <f>IF(MATCH(Output_Table[[#This Row],[Year &amp; month output plan]],Output_Table[[#All],[Year &amp; month output plan]],1)+2=ROW(Output_Table[[#This Row],[Job]]),1,0)</f>
        <v>0</v>
      </c>
      <c r="AC92" s="57">
        <f>IFERROR(VALUE(LEFT(Output_Table[[#This Row],[Progress]],2)),"")</f>
        <v>20</v>
      </c>
    </row>
    <row r="93" spans="1:29" ht="30" x14ac:dyDescent="0.25">
      <c r="A93" s="76" t="s">
        <v>254</v>
      </c>
      <c r="B93" s="41">
        <v>43403</v>
      </c>
      <c r="C93" s="33">
        <v>8</v>
      </c>
      <c r="D93" s="33" t="s">
        <v>5</v>
      </c>
      <c r="E93" s="42" t="s">
        <v>302</v>
      </c>
      <c r="F93" s="95" t="s">
        <v>301</v>
      </c>
      <c r="G93" s="33" t="s">
        <v>42</v>
      </c>
      <c r="H93" s="84">
        <f>_xlfn.IFNA(VLOOKUP(Output_Table[[#This Row],[Progress]],ProgressCalculation_List,6,FALSE),"")</f>
        <v>1.0000000000000002</v>
      </c>
      <c r="I93" s="92" t="s">
        <v>219</v>
      </c>
      <c r="J93" s="93">
        <v>43426</v>
      </c>
      <c r="K93" s="88">
        <v>8</v>
      </c>
      <c r="L93" s="90"/>
      <c r="M93" s="45">
        <v>43404.552083333336</v>
      </c>
      <c r="N93" s="33" t="s">
        <v>173</v>
      </c>
      <c r="O93" s="57">
        <f ca="1">IFERROR(INDIRECT(Output_Table[[#This Row],[Month plan begins]])-INDIRECT(Output_Table[[#This Row],[In stock Month begins]])-Output_Table[[#This Row],[Assembled]],0)</f>
        <v>1</v>
      </c>
      <c r="P93" s="96">
        <f ca="1">IFERROR(SUBTOTAL(109,INDIRECT(Output_Table[[#This Row],[First cell]]):INDIRECT(Output_Table[[#This Row],[Last cell]])),0)</f>
        <v>39</v>
      </c>
      <c r="Q93" s="57"/>
      <c r="R93" s="57"/>
      <c r="S93" s="33" t="s">
        <v>88</v>
      </c>
      <c r="T93" s="61">
        <v>2018</v>
      </c>
      <c r="U93" s="57">
        <f>_xlfn.NUMBERVALUE(Output_Table[[#This Row],[Year]]&amp;TEXT(_xlfn.IFNA(VLOOKUP(Output_Table[[#This Row],[Output month]],OutupMonth_Table[],2,FALSE),""),"00"))</f>
        <v>201811</v>
      </c>
      <c r="V93" s="57">
        <f>_xlfn.NUMBERVALUE(YEAR(Output_Table[[#This Row],[Out by]])&amp; TEXT(MONTH(Output_Table[[#This Row],[Out by]]),"00"))</f>
        <v>201811</v>
      </c>
      <c r="W93" s="57" t="str">
        <f>ADDRESS(MATCH(Output_Table[[#This Row],[Year &amp; month output plan]],Output_Table[[#All],[Year &amp; month output plan]],0)+2,COLUMN(Output_Table[[#This Row],[Out qty]]),4,1)</f>
        <v>K92</v>
      </c>
      <c r="X93" s="57" t="str">
        <f>ADDRESS(MATCH(Output_Table[[#This Row],[Year &amp; month output plan]],Output_Table[[#All],[Year &amp; month output plan]],1)+2,COLUMN(Output_Table[[#This Row],[Out qty]]),4,1)</f>
        <v>K96</v>
      </c>
      <c r="Y93" s="57" t="str">
        <f>ADDRESS(MATCH(Output_Table[[#This Row],[Year &amp; month output plan]],Output_Table[[#All],[Year &amp; month output plan]],0)+2,COLUMN(Output_Table[[#This Row],[In stock (month begins)]]),4,1)</f>
        <v>Q92</v>
      </c>
      <c r="Z93" s="57" t="str">
        <f>ADDRESS(MATCH(Output_Table[[#This Row],[Year &amp; month output plan]],Output_Table[[#All],[Year &amp; month output plan]],0)+2,COLUMN(Output_Table[[#This Row],[Month plan]]),4,1)</f>
        <v>R92</v>
      </c>
      <c r="AA93" s="57">
        <f>IF(MATCH(Output_Table[[#This Row],[Year &amp; month output plan]],Output_Table[[#All],[Year &amp; month output plan]],0)+2=ROW(Output_Table[[#This Row],[Job]]),1,0)</f>
        <v>0</v>
      </c>
      <c r="AB93" s="57">
        <f>IF(MATCH(Output_Table[[#This Row],[Year &amp; month output plan]],Output_Table[[#All],[Year &amp; month output plan]],1)+2=ROW(Output_Table[[#This Row],[Job]]),1,0)</f>
        <v>0</v>
      </c>
      <c r="AC93" s="57">
        <f>IFERROR(VALUE(LEFT(Output_Table[[#This Row],[Progress]],2)),"")</f>
        <v>20</v>
      </c>
    </row>
    <row r="94" spans="1:29" ht="30" x14ac:dyDescent="0.25">
      <c r="A94" s="76" t="s">
        <v>255</v>
      </c>
      <c r="B94" s="41">
        <v>43403</v>
      </c>
      <c r="C94" s="33">
        <v>8</v>
      </c>
      <c r="D94" s="33" t="s">
        <v>5</v>
      </c>
      <c r="E94" s="42" t="s">
        <v>303</v>
      </c>
      <c r="F94" s="95" t="s">
        <v>301</v>
      </c>
      <c r="G94" s="33" t="s">
        <v>42</v>
      </c>
      <c r="H94" s="84">
        <f>_xlfn.IFNA(VLOOKUP(Output_Table[[#This Row],[Progress]],ProgressCalculation_List,6,FALSE),"")</f>
        <v>1.0000000000000002</v>
      </c>
      <c r="I94" s="92" t="s">
        <v>219</v>
      </c>
      <c r="J94" s="93">
        <v>43432</v>
      </c>
      <c r="K94" s="88">
        <v>8</v>
      </c>
      <c r="L94" s="90"/>
      <c r="M94" s="33"/>
      <c r="N94" s="33" t="s">
        <v>173</v>
      </c>
      <c r="O94" s="57">
        <f ca="1">IFERROR(INDIRECT(Output_Table[[#This Row],[Month plan begins]])-INDIRECT(Output_Table[[#This Row],[In stock Month begins]])-Output_Table[[#This Row],[Assembled]],0)</f>
        <v>1</v>
      </c>
      <c r="P94" s="96">
        <f ca="1">IFERROR(SUBTOTAL(109,INDIRECT(Output_Table[[#This Row],[First cell]]):INDIRECT(Output_Table[[#This Row],[Last cell]])),0)</f>
        <v>39</v>
      </c>
      <c r="Q94" s="57"/>
      <c r="R94" s="57"/>
      <c r="S94" s="33" t="s">
        <v>88</v>
      </c>
      <c r="T94" s="61">
        <v>2018</v>
      </c>
      <c r="U94" s="57">
        <f>_xlfn.NUMBERVALUE(Output_Table[[#This Row],[Year]]&amp;TEXT(_xlfn.IFNA(VLOOKUP(Output_Table[[#This Row],[Output month]],OutupMonth_Table[],2,FALSE),""),"00"))</f>
        <v>201811</v>
      </c>
      <c r="V94" s="57">
        <f>_xlfn.NUMBERVALUE(YEAR(Output_Table[[#This Row],[Out by]])&amp; TEXT(MONTH(Output_Table[[#This Row],[Out by]]),"00"))</f>
        <v>201811</v>
      </c>
      <c r="W94" s="57" t="str">
        <f>ADDRESS(MATCH(Output_Table[[#This Row],[Year &amp; month output plan]],Output_Table[[#All],[Year &amp; month output plan]],0)+2,COLUMN(Output_Table[[#This Row],[Out qty]]),4,1)</f>
        <v>K92</v>
      </c>
      <c r="X94" s="57" t="str">
        <f>ADDRESS(MATCH(Output_Table[[#This Row],[Year &amp; month output plan]],Output_Table[[#All],[Year &amp; month output plan]],1)+2,COLUMN(Output_Table[[#This Row],[Out qty]]),4,1)</f>
        <v>K96</v>
      </c>
      <c r="Y94" s="57" t="str">
        <f>ADDRESS(MATCH(Output_Table[[#This Row],[Year &amp; month output plan]],Output_Table[[#All],[Year &amp; month output plan]],0)+2,COLUMN(Output_Table[[#This Row],[In stock (month begins)]]),4,1)</f>
        <v>Q92</v>
      </c>
      <c r="Z94" s="57" t="str">
        <f>ADDRESS(MATCH(Output_Table[[#This Row],[Year &amp; month output plan]],Output_Table[[#All],[Year &amp; month output plan]],0)+2,COLUMN(Output_Table[[#This Row],[Month plan]]),4,1)</f>
        <v>R92</v>
      </c>
      <c r="AA94" s="57">
        <f>IF(MATCH(Output_Table[[#This Row],[Year &amp; month output plan]],Output_Table[[#All],[Year &amp; month output plan]],0)+2=ROW(Output_Table[[#This Row],[Job]]),1,0)</f>
        <v>0</v>
      </c>
      <c r="AB94" s="57">
        <f>IF(MATCH(Output_Table[[#This Row],[Year &amp; month output plan]],Output_Table[[#All],[Year &amp; month output plan]],1)+2=ROW(Output_Table[[#This Row],[Job]]),1,0)</f>
        <v>0</v>
      </c>
      <c r="AC94" s="57">
        <f>IFERROR(VALUE(LEFT(Output_Table[[#This Row],[Progress]],2)),"")</f>
        <v>20</v>
      </c>
    </row>
    <row r="95" spans="1:29" x14ac:dyDescent="0.25">
      <c r="A95" s="76" t="s">
        <v>256</v>
      </c>
      <c r="B95" s="41">
        <v>43411</v>
      </c>
      <c r="C95" s="33">
        <v>8</v>
      </c>
      <c r="D95" s="33" t="s">
        <v>5</v>
      </c>
      <c r="E95" s="33" t="s">
        <v>304</v>
      </c>
      <c r="F95" s="41">
        <v>43423</v>
      </c>
      <c r="G95" s="33" t="s">
        <v>42</v>
      </c>
      <c r="H95" s="84">
        <f>_xlfn.IFNA(VLOOKUP(Output_Table[[#This Row],[Progress]],ProgressCalculation_List,6,FALSE),"")</f>
        <v>1.0000000000000002</v>
      </c>
      <c r="I95" s="92" t="s">
        <v>219</v>
      </c>
      <c r="J95" s="93">
        <v>43432</v>
      </c>
      <c r="K95" s="88">
        <v>7</v>
      </c>
      <c r="L95" s="90" t="s">
        <v>314</v>
      </c>
      <c r="M95" s="45">
        <v>43413.552083333336</v>
      </c>
      <c r="N95" s="33" t="s">
        <v>173</v>
      </c>
      <c r="O95" s="57">
        <f ca="1">IFERROR(INDIRECT(Output_Table[[#This Row],[Month plan begins]])-INDIRECT(Output_Table[[#This Row],[In stock Month begins]])-Output_Table[[#This Row],[Assembled]],0)</f>
        <v>1</v>
      </c>
      <c r="P95" s="96">
        <f ca="1">IFERROR(SUBTOTAL(109,INDIRECT(Output_Table[[#This Row],[First cell]]):INDIRECT(Output_Table[[#This Row],[Last cell]])),0)</f>
        <v>39</v>
      </c>
      <c r="Q95" s="57"/>
      <c r="R95" s="57"/>
      <c r="S95" s="33" t="s">
        <v>88</v>
      </c>
      <c r="T95" s="61">
        <v>2018</v>
      </c>
      <c r="U95" s="57">
        <f>_xlfn.NUMBERVALUE(Output_Table[[#This Row],[Year]]&amp;TEXT(_xlfn.IFNA(VLOOKUP(Output_Table[[#This Row],[Output month]],OutupMonth_Table[],2,FALSE),""),"00"))</f>
        <v>201811</v>
      </c>
      <c r="V95" s="57">
        <f>_xlfn.NUMBERVALUE(YEAR(Output_Table[[#This Row],[Out by]])&amp; TEXT(MONTH(Output_Table[[#This Row],[Out by]]),"00"))</f>
        <v>201811</v>
      </c>
      <c r="W95" s="57" t="str">
        <f>ADDRESS(MATCH(Output_Table[[#This Row],[Year &amp; month output plan]],Output_Table[[#All],[Year &amp; month output plan]],0)+2,COLUMN(Output_Table[[#This Row],[Out qty]]),4,1)</f>
        <v>K92</v>
      </c>
      <c r="X95" s="57" t="str">
        <f>ADDRESS(MATCH(Output_Table[[#This Row],[Year &amp; month output plan]],Output_Table[[#All],[Year &amp; month output plan]],1)+2,COLUMN(Output_Table[[#This Row],[Out qty]]),4,1)</f>
        <v>K96</v>
      </c>
      <c r="Y95" s="57" t="str">
        <f>ADDRESS(MATCH(Output_Table[[#This Row],[Year &amp; month output plan]],Output_Table[[#All],[Year &amp; month output plan]],0)+2,COLUMN(Output_Table[[#This Row],[In stock (month begins)]]),4,1)</f>
        <v>Q92</v>
      </c>
      <c r="Z95" s="57" t="str">
        <f>ADDRESS(MATCH(Output_Table[[#This Row],[Year &amp; month output plan]],Output_Table[[#All],[Year &amp; month output plan]],0)+2,COLUMN(Output_Table[[#This Row],[Month plan]]),4,1)</f>
        <v>R92</v>
      </c>
      <c r="AA95" s="57">
        <f>IF(MATCH(Output_Table[[#This Row],[Year &amp; month output plan]],Output_Table[[#All],[Year &amp; month output plan]],0)+2=ROW(Output_Table[[#This Row],[Job]]),1,0)</f>
        <v>0</v>
      </c>
      <c r="AB95" s="57">
        <f>IF(MATCH(Output_Table[[#This Row],[Year &amp; month output plan]],Output_Table[[#All],[Year &amp; month output plan]],1)+2=ROW(Output_Table[[#This Row],[Job]]),1,0)</f>
        <v>0</v>
      </c>
      <c r="AC95" s="57">
        <f>IFERROR(VALUE(LEFT(Output_Table[[#This Row],[Progress]],2)),"")</f>
        <v>20</v>
      </c>
    </row>
    <row r="96" spans="1:29" x14ac:dyDescent="0.25">
      <c r="A96" s="76" t="s">
        <v>258</v>
      </c>
      <c r="B96" s="41">
        <v>43412</v>
      </c>
      <c r="C96" s="33">
        <v>8</v>
      </c>
      <c r="D96" s="33" t="s">
        <v>5</v>
      </c>
      <c r="E96" s="33" t="s">
        <v>304</v>
      </c>
      <c r="F96" s="41">
        <v>43423</v>
      </c>
      <c r="G96" s="33" t="s">
        <v>42</v>
      </c>
      <c r="H96" s="84">
        <f>_xlfn.IFNA(VLOOKUP(Output_Table[[#This Row],[Progress]],ProgressCalculation_List,6,FALSE),"")</f>
        <v>1.0000000000000002</v>
      </c>
      <c r="I96" s="92" t="s">
        <v>219</v>
      </c>
      <c r="J96" s="93">
        <v>43432</v>
      </c>
      <c r="K96" s="88">
        <v>8</v>
      </c>
      <c r="L96" s="90"/>
      <c r="M96" s="45">
        <v>43416.645833333336</v>
      </c>
      <c r="N96" s="36" t="s">
        <v>173</v>
      </c>
      <c r="O96" s="57">
        <f ca="1">IFERROR(INDIRECT(Output_Table[[#This Row],[Month plan begins]])-INDIRECT(Output_Table[[#This Row],[In stock Month begins]])-Output_Table[[#This Row],[Assembled]],0)</f>
        <v>1</v>
      </c>
      <c r="P96" s="96">
        <f ca="1">IFERROR(SUBTOTAL(109,INDIRECT(Output_Table[[#This Row],[First cell]]):INDIRECT(Output_Table[[#This Row],[Last cell]])),0)</f>
        <v>39</v>
      </c>
      <c r="Q96" s="66"/>
      <c r="R96" s="57"/>
      <c r="S96" s="33" t="s">
        <v>88</v>
      </c>
      <c r="T96" s="61">
        <v>2018</v>
      </c>
      <c r="U96" s="57">
        <f>_xlfn.NUMBERVALUE(Output_Table[[#This Row],[Year]]&amp;TEXT(_xlfn.IFNA(VLOOKUP(Output_Table[[#This Row],[Output month]],OutupMonth_Table[],2,FALSE),""),"00"))</f>
        <v>201811</v>
      </c>
      <c r="V96" s="57">
        <f>_xlfn.NUMBERVALUE(YEAR(Output_Table[[#This Row],[Out by]])&amp; TEXT(MONTH(Output_Table[[#This Row],[Out by]]),"00"))</f>
        <v>201811</v>
      </c>
      <c r="W96" s="57" t="str">
        <f>ADDRESS(MATCH(Output_Table[[#This Row],[Year &amp; month output plan]],Output_Table[[#All],[Year &amp; month output plan]],0)+2,COLUMN(Output_Table[[#This Row],[Out qty]]),4,1)</f>
        <v>K92</v>
      </c>
      <c r="X96" s="57" t="str">
        <f>ADDRESS(MATCH(Output_Table[[#This Row],[Year &amp; month output plan]],Output_Table[[#All],[Year &amp; month output plan]],1)+2,COLUMN(Output_Table[[#This Row],[Out qty]]),4,1)</f>
        <v>K96</v>
      </c>
      <c r="Y96" s="57" t="str">
        <f>ADDRESS(MATCH(Output_Table[[#This Row],[Year &amp; month output plan]],Output_Table[[#All],[Year &amp; month output plan]],0)+2,COLUMN(Output_Table[[#This Row],[In stock (month begins)]]),4,1)</f>
        <v>Q92</v>
      </c>
      <c r="Z96" s="57" t="str">
        <f>ADDRESS(MATCH(Output_Table[[#This Row],[Year &amp; month output plan]],Output_Table[[#All],[Year &amp; month output plan]],0)+2,COLUMN(Output_Table[[#This Row],[Month plan]]),4,1)</f>
        <v>R92</v>
      </c>
      <c r="AA96" s="57">
        <f>IF(MATCH(Output_Table[[#This Row],[Year &amp; month output plan]],Output_Table[[#All],[Year &amp; month output plan]],0)+2=ROW(Output_Table[[#This Row],[Job]]),1,0)</f>
        <v>0</v>
      </c>
      <c r="AB96" s="57">
        <f>IF(MATCH(Output_Table[[#This Row],[Year &amp; month output plan]],Output_Table[[#All],[Year &amp; month output plan]],1)+2=ROW(Output_Table[[#This Row],[Job]]),1,0)</f>
        <v>1</v>
      </c>
      <c r="AC96" s="57">
        <f>IFERROR(VALUE(LEFT(Output_Table[[#This Row],[Progress]],2)),"")</f>
        <v>20</v>
      </c>
    </row>
    <row r="97" spans="1:29" x14ac:dyDescent="0.25">
      <c r="A97" s="76" t="s">
        <v>298</v>
      </c>
      <c r="B97" s="41">
        <v>43419</v>
      </c>
      <c r="C97" s="33">
        <v>8</v>
      </c>
      <c r="D97" s="33" t="s">
        <v>5</v>
      </c>
      <c r="E97" s="33" t="s">
        <v>304</v>
      </c>
      <c r="F97" s="41">
        <v>43423</v>
      </c>
      <c r="G97" s="33" t="s">
        <v>42</v>
      </c>
      <c r="H97" s="84">
        <f>_xlfn.IFNA(VLOOKUP(Output_Table[[#This Row],[Progress]],ProgressCalculation_List,6,FALSE),"")</f>
        <v>1.0000000000000002</v>
      </c>
      <c r="I97" s="92" t="s">
        <v>219</v>
      </c>
      <c r="J97" s="93">
        <v>43441</v>
      </c>
      <c r="K97" s="88">
        <v>8</v>
      </c>
      <c r="L97" s="90"/>
      <c r="M97" s="33"/>
      <c r="N97" s="33"/>
      <c r="O97" s="57">
        <f ca="1">IFERROR(INDIRECT(Output_Table[[#This Row],[Month plan begins]])-INDIRECT(Output_Table[[#This Row],[In stock Month begins]])-Output_Table[[#This Row],[Assembled]],0)</f>
        <v>0</v>
      </c>
      <c r="P97" s="96">
        <f ca="1">IFERROR(SUBTOTAL(109,INDIRECT(Output_Table[[#This Row],[First cell]]):INDIRECT(Output_Table[[#This Row],[Last cell]])),0)</f>
        <v>40</v>
      </c>
      <c r="Q97" s="57">
        <v>0</v>
      </c>
      <c r="R97" s="57">
        <v>40</v>
      </c>
      <c r="S97" s="33" t="s">
        <v>99</v>
      </c>
      <c r="T97" s="61">
        <v>2018</v>
      </c>
      <c r="U97" s="57">
        <f>_xlfn.NUMBERVALUE(Output_Table[[#This Row],[Year]]&amp;TEXT(_xlfn.IFNA(VLOOKUP(Output_Table[[#This Row],[Output month]],OutupMonth_Table[],2,FALSE),""),"00"))</f>
        <v>201812</v>
      </c>
      <c r="V97" s="57">
        <f>_xlfn.NUMBERVALUE(YEAR(Output_Table[[#This Row],[Out by]])&amp; TEXT(MONTH(Output_Table[[#This Row],[Out by]]),"00"))</f>
        <v>201812</v>
      </c>
      <c r="W97" s="57" t="str">
        <f>ADDRESS(MATCH(Output_Table[[#This Row],[Year &amp; month output plan]],Output_Table[[#All],[Year &amp; month output plan]],0)+2,COLUMN(Output_Table[[#This Row],[Out qty]]),4,1)</f>
        <v>K97</v>
      </c>
      <c r="X97" s="57" t="str">
        <f>ADDRESS(MATCH(Output_Table[[#This Row],[Year &amp; month output plan]],Output_Table[[#All],[Year &amp; month output plan]],1)+2,COLUMN(Output_Table[[#This Row],[Out qty]]),4,1)</f>
        <v>K101</v>
      </c>
      <c r="Y97" s="57" t="str">
        <f>ADDRESS(MATCH(Output_Table[[#This Row],[Year &amp; month output plan]],Output_Table[[#All],[Year &amp; month output plan]],0)+2,COLUMN(Output_Table[[#This Row],[In stock (month begins)]]),4,1)</f>
        <v>Q97</v>
      </c>
      <c r="Z97" s="57" t="str">
        <f>ADDRESS(MATCH(Output_Table[[#This Row],[Year &amp; month output plan]],Output_Table[[#All],[Year &amp; month output plan]],0)+2,COLUMN(Output_Table[[#This Row],[Month plan]]),4,1)</f>
        <v>R97</v>
      </c>
      <c r="AA97" s="57">
        <f>IF(MATCH(Output_Table[[#This Row],[Year &amp; month output plan]],Output_Table[[#All],[Year &amp; month output plan]],0)+2=ROW(Output_Table[[#This Row],[Job]]),1,0)</f>
        <v>1</v>
      </c>
      <c r="AB97" s="57">
        <f>IF(MATCH(Output_Table[[#This Row],[Year &amp; month output plan]],Output_Table[[#All],[Year &amp; month output plan]],1)+2=ROW(Output_Table[[#This Row],[Job]]),1,0)</f>
        <v>0</v>
      </c>
      <c r="AC97" s="57">
        <f>IFERROR(VALUE(LEFT(Output_Table[[#This Row],[Progress]],2)),"")</f>
        <v>20</v>
      </c>
    </row>
    <row r="98" spans="1:29" ht="30" x14ac:dyDescent="0.25">
      <c r="A98" s="76" t="s">
        <v>299</v>
      </c>
      <c r="B98" s="41">
        <v>43419</v>
      </c>
      <c r="C98" s="33">
        <v>8</v>
      </c>
      <c r="D98" s="33" t="s">
        <v>5</v>
      </c>
      <c r="E98" s="42" t="s">
        <v>305</v>
      </c>
      <c r="F98" s="95" t="s">
        <v>306</v>
      </c>
      <c r="G98" s="33" t="s">
        <v>42</v>
      </c>
      <c r="H98" s="84">
        <f>_xlfn.IFNA(VLOOKUP(Output_Table[[#This Row],[Progress]],ProgressCalculation_List,6,FALSE),"")</f>
        <v>1.0000000000000002</v>
      </c>
      <c r="I98" s="92" t="s">
        <v>219</v>
      </c>
      <c r="J98" s="93">
        <v>43441</v>
      </c>
      <c r="K98" s="88">
        <v>8</v>
      </c>
      <c r="L98" s="90"/>
      <c r="M98" s="33"/>
      <c r="N98" s="33"/>
      <c r="O98" s="57">
        <f ca="1">IFERROR(INDIRECT(Output_Table[[#This Row],[Month plan begins]])-INDIRECT(Output_Table[[#This Row],[In stock Month begins]])-Output_Table[[#This Row],[Assembled]],0)</f>
        <v>0</v>
      </c>
      <c r="P98" s="96">
        <f ca="1">IFERROR(SUBTOTAL(109,INDIRECT(Output_Table[[#This Row],[First cell]]):INDIRECT(Output_Table[[#This Row],[Last cell]])),0)</f>
        <v>40</v>
      </c>
      <c r="Q98" s="57"/>
      <c r="R98" s="57"/>
      <c r="S98" s="33" t="s">
        <v>99</v>
      </c>
      <c r="T98" s="61">
        <v>2018</v>
      </c>
      <c r="U98" s="57">
        <f>_xlfn.NUMBERVALUE(Output_Table[[#This Row],[Year]]&amp;TEXT(_xlfn.IFNA(VLOOKUP(Output_Table[[#This Row],[Output month]],OutupMonth_Table[],2,FALSE),""),"00"))</f>
        <v>201812</v>
      </c>
      <c r="V98" s="57">
        <f>_xlfn.NUMBERVALUE(YEAR(Output_Table[[#This Row],[Out by]])&amp; TEXT(MONTH(Output_Table[[#This Row],[Out by]]),"00"))</f>
        <v>201812</v>
      </c>
      <c r="W98" s="57" t="str">
        <f>ADDRESS(MATCH(Output_Table[[#This Row],[Year &amp; month output plan]],Output_Table[[#All],[Year &amp; month output plan]],0)+2,COLUMN(Output_Table[[#This Row],[Out qty]]),4,1)</f>
        <v>K97</v>
      </c>
      <c r="X98" s="57" t="str">
        <f>ADDRESS(MATCH(Output_Table[[#This Row],[Year &amp; month output plan]],Output_Table[[#All],[Year &amp; month output plan]],1)+2,COLUMN(Output_Table[[#This Row],[Out qty]]),4,1)</f>
        <v>K101</v>
      </c>
      <c r="Y98" s="57" t="str">
        <f>ADDRESS(MATCH(Output_Table[[#This Row],[Year &amp; month output plan]],Output_Table[[#All],[Year &amp; month output plan]],0)+2,COLUMN(Output_Table[[#This Row],[In stock (month begins)]]),4,1)</f>
        <v>Q97</v>
      </c>
      <c r="Z98" s="57" t="str">
        <f>ADDRESS(MATCH(Output_Table[[#This Row],[Year &amp; month output plan]],Output_Table[[#All],[Year &amp; month output plan]],0)+2,COLUMN(Output_Table[[#This Row],[Month plan]]),4,1)</f>
        <v>R97</v>
      </c>
      <c r="AA98" s="57">
        <f>IF(MATCH(Output_Table[[#This Row],[Year &amp; month output plan]],Output_Table[[#All],[Year &amp; month output plan]],0)+2=ROW(Output_Table[[#This Row],[Job]]),1,0)</f>
        <v>0</v>
      </c>
      <c r="AB98" s="57">
        <f>IF(MATCH(Output_Table[[#This Row],[Year &amp; month output plan]],Output_Table[[#All],[Year &amp; month output plan]],1)+2=ROW(Output_Table[[#This Row],[Job]]),1,0)</f>
        <v>0</v>
      </c>
      <c r="AC98" s="57">
        <f>IFERROR(VALUE(LEFT(Output_Table[[#This Row],[Progress]],2)),"")</f>
        <v>20</v>
      </c>
    </row>
    <row r="99" spans="1:29" ht="120.75" x14ac:dyDescent="0.25">
      <c r="A99" s="76" t="s">
        <v>310</v>
      </c>
      <c r="B99" s="41">
        <v>43426</v>
      </c>
      <c r="C99" s="33">
        <v>8</v>
      </c>
      <c r="D99" s="33" t="s">
        <v>5</v>
      </c>
      <c r="E99" s="33" t="s">
        <v>311</v>
      </c>
      <c r="F99" s="41">
        <v>43437</v>
      </c>
      <c r="G99" s="33" t="s">
        <v>42</v>
      </c>
      <c r="H99" s="84">
        <f>_xlfn.IFNA(VLOOKUP(Output_Table[[#This Row],[Progress]],ProgressCalculation_List,6,FALSE),"")</f>
        <v>1.0000000000000002</v>
      </c>
      <c r="I99" s="92" t="s">
        <v>219</v>
      </c>
      <c r="J99" s="93">
        <v>43453</v>
      </c>
      <c r="K99" s="88">
        <v>8</v>
      </c>
      <c r="L99" s="90"/>
      <c r="M99" s="45">
        <v>43439.361111111109</v>
      </c>
      <c r="N99" s="130" t="s">
        <v>323</v>
      </c>
      <c r="O99" s="57">
        <f ca="1">IFERROR(INDIRECT(Output_Table[[#This Row],[Month plan begins]])-INDIRECT(Output_Table[[#This Row],[In stock Month begins]])-Output_Table[[#This Row],[Assembled]],0)</f>
        <v>0</v>
      </c>
      <c r="P99" s="96">
        <f ca="1">IFERROR(SUBTOTAL(109,INDIRECT(Output_Table[[#This Row],[First cell]]):INDIRECT(Output_Table[[#This Row],[Last cell]])),0)</f>
        <v>40</v>
      </c>
      <c r="Q99" s="57"/>
      <c r="R99" s="57"/>
      <c r="S99" s="33" t="s">
        <v>99</v>
      </c>
      <c r="T99" s="61">
        <v>2018</v>
      </c>
      <c r="U99" s="57">
        <f>_xlfn.NUMBERVALUE(Output_Table[[#This Row],[Year]]&amp;TEXT(_xlfn.IFNA(VLOOKUP(Output_Table[[#This Row],[Output month]],OutupMonth_Table[],2,FALSE),""),"00"))</f>
        <v>201812</v>
      </c>
      <c r="V99" s="57">
        <f>_xlfn.NUMBERVALUE(YEAR(Output_Table[[#This Row],[Out by]])&amp; TEXT(MONTH(Output_Table[[#This Row],[Out by]]),"00"))</f>
        <v>201812</v>
      </c>
      <c r="W99" s="57" t="str">
        <f>ADDRESS(MATCH(Output_Table[[#This Row],[Year &amp; month output plan]],Output_Table[[#All],[Year &amp; month output plan]],0)+2,COLUMN(Output_Table[[#This Row],[Out qty]]),4,1)</f>
        <v>K97</v>
      </c>
      <c r="X99" s="57" t="str">
        <f>ADDRESS(MATCH(Output_Table[[#This Row],[Year &amp; month output plan]],Output_Table[[#All],[Year &amp; month output plan]],1)+2,COLUMN(Output_Table[[#This Row],[Out qty]]),4,1)</f>
        <v>K101</v>
      </c>
      <c r="Y99" s="57" t="str">
        <f>ADDRESS(MATCH(Output_Table[[#This Row],[Year &amp; month output plan]],Output_Table[[#All],[Year &amp; month output plan]],0)+2,COLUMN(Output_Table[[#This Row],[In stock (month begins)]]),4,1)</f>
        <v>Q97</v>
      </c>
      <c r="Z99" s="57" t="str">
        <f>ADDRESS(MATCH(Output_Table[[#This Row],[Year &amp; month output plan]],Output_Table[[#All],[Year &amp; month output plan]],0)+2,COLUMN(Output_Table[[#This Row],[Month plan]]),4,1)</f>
        <v>R97</v>
      </c>
      <c r="AA99" s="57">
        <f>IF(MATCH(Output_Table[[#This Row],[Year &amp; month output plan]],Output_Table[[#All],[Year &amp; month output plan]],0)+2=ROW(Output_Table[[#This Row],[Job]]),1,0)</f>
        <v>0</v>
      </c>
      <c r="AB99" s="57">
        <f>IF(MATCH(Output_Table[[#This Row],[Year &amp; month output plan]],Output_Table[[#All],[Year &amp; month output plan]],1)+2=ROW(Output_Table[[#This Row],[Job]]),1,0)</f>
        <v>0</v>
      </c>
      <c r="AC99" s="57">
        <f>IFERROR(VALUE(LEFT(Output_Table[[#This Row],[Progress]],2)),"")</f>
        <v>20</v>
      </c>
    </row>
    <row r="100" spans="1:29" ht="60" x14ac:dyDescent="0.25">
      <c r="A100" s="76" t="s">
        <v>309</v>
      </c>
      <c r="B100" s="41">
        <v>43426</v>
      </c>
      <c r="C100" s="33">
        <v>8</v>
      </c>
      <c r="D100" s="33" t="s">
        <v>5</v>
      </c>
      <c r="E100" s="33"/>
      <c r="F100" s="41"/>
      <c r="G100" s="33" t="s">
        <v>42</v>
      </c>
      <c r="H100" s="84">
        <f>_xlfn.IFNA(VLOOKUP(Output_Table[[#This Row],[Progress]],ProgressCalculation_List,6,FALSE),"")</f>
        <v>1.0000000000000002</v>
      </c>
      <c r="I100" s="92" t="s">
        <v>219</v>
      </c>
      <c r="J100" s="93">
        <v>43453</v>
      </c>
      <c r="K100" s="88">
        <v>8</v>
      </c>
      <c r="L100" s="90"/>
      <c r="M100" s="33"/>
      <c r="N100" s="42" t="s">
        <v>324</v>
      </c>
      <c r="O100" s="57">
        <f ca="1">IFERROR(INDIRECT(Output_Table[[#This Row],[Month plan begins]])-INDIRECT(Output_Table[[#This Row],[In stock Month begins]])-Output_Table[[#This Row],[Assembled]],0)</f>
        <v>0</v>
      </c>
      <c r="P100" s="96">
        <f ca="1">IFERROR(SUBTOTAL(109,INDIRECT(Output_Table[[#This Row],[First cell]]):INDIRECT(Output_Table[[#This Row],[Last cell]])),0)</f>
        <v>40</v>
      </c>
      <c r="Q100" s="57"/>
      <c r="R100" s="57"/>
      <c r="S100" s="33" t="s">
        <v>99</v>
      </c>
      <c r="T100" s="61">
        <v>2018</v>
      </c>
      <c r="U100" s="57">
        <f>_xlfn.NUMBERVALUE(Output_Table[[#This Row],[Year]]&amp;TEXT(_xlfn.IFNA(VLOOKUP(Output_Table[[#This Row],[Output month]],OutupMonth_Table[],2,FALSE),""),"00"))</f>
        <v>201812</v>
      </c>
      <c r="V100" s="57">
        <f>_xlfn.NUMBERVALUE(YEAR(Output_Table[[#This Row],[Out by]])&amp; TEXT(MONTH(Output_Table[[#This Row],[Out by]]),"00"))</f>
        <v>201812</v>
      </c>
      <c r="W100" s="57" t="str">
        <f>ADDRESS(MATCH(Output_Table[[#This Row],[Year &amp; month output plan]],Output_Table[[#All],[Year &amp; month output plan]],0)+2,COLUMN(Output_Table[[#This Row],[Out qty]]),4,1)</f>
        <v>K97</v>
      </c>
      <c r="X100" s="57" t="str">
        <f>ADDRESS(MATCH(Output_Table[[#This Row],[Year &amp; month output plan]],Output_Table[[#All],[Year &amp; month output plan]],1)+2,COLUMN(Output_Table[[#This Row],[Out qty]]),4,1)</f>
        <v>K101</v>
      </c>
      <c r="Y100" s="57" t="str">
        <f>ADDRESS(MATCH(Output_Table[[#This Row],[Year &amp; month output plan]],Output_Table[[#All],[Year &amp; month output plan]],0)+2,COLUMN(Output_Table[[#This Row],[In stock (month begins)]]),4,1)</f>
        <v>Q97</v>
      </c>
      <c r="Z100" s="57" t="str">
        <f>ADDRESS(MATCH(Output_Table[[#This Row],[Year &amp; month output plan]],Output_Table[[#All],[Year &amp; month output plan]],0)+2,COLUMN(Output_Table[[#This Row],[Month plan]]),4,1)</f>
        <v>R97</v>
      </c>
      <c r="AA100" s="57">
        <f>IF(MATCH(Output_Table[[#This Row],[Year &amp; month output plan]],Output_Table[[#All],[Year &amp; month output plan]],0)+2=ROW(Output_Table[[#This Row],[Job]]),1,0)</f>
        <v>0</v>
      </c>
      <c r="AB100" s="57">
        <f>IF(MATCH(Output_Table[[#This Row],[Year &amp; month output plan]],Output_Table[[#All],[Year &amp; month output plan]],1)+2=ROW(Output_Table[[#This Row],[Job]]),1,0)</f>
        <v>0</v>
      </c>
      <c r="AC100" s="57">
        <f>IFERROR(VALUE(LEFT(Output_Table[[#This Row],[Progress]],2)),"")</f>
        <v>20</v>
      </c>
    </row>
    <row r="101" spans="1:29" x14ac:dyDescent="0.25">
      <c r="A101" s="76" t="s">
        <v>312</v>
      </c>
      <c r="B101" s="41">
        <v>43431</v>
      </c>
      <c r="C101" s="33">
        <v>8</v>
      </c>
      <c r="D101" s="33" t="s">
        <v>5</v>
      </c>
      <c r="E101" s="33" t="s">
        <v>311</v>
      </c>
      <c r="F101" s="41">
        <v>43437</v>
      </c>
      <c r="G101" s="33" t="s">
        <v>42</v>
      </c>
      <c r="H101" s="84">
        <f>_xlfn.IFNA(VLOOKUP(Output_Table[[#This Row],[Progress]],ProgressCalculation_List,6,FALSE),"")</f>
        <v>1.0000000000000002</v>
      </c>
      <c r="I101" s="92" t="s">
        <v>219</v>
      </c>
      <c r="J101" s="93">
        <v>43454</v>
      </c>
      <c r="K101" s="88">
        <v>8</v>
      </c>
      <c r="L101" s="90"/>
      <c r="M101" s="45">
        <v>43440.395833333336</v>
      </c>
      <c r="N101" s="33"/>
      <c r="O101" s="57">
        <f ca="1">IFERROR(INDIRECT(Output_Table[[#This Row],[Month plan begins]])-INDIRECT(Output_Table[[#This Row],[In stock Month begins]])-Output_Table[[#This Row],[Assembled]],0)</f>
        <v>0</v>
      </c>
      <c r="P101" s="96">
        <f ca="1">IFERROR(SUBTOTAL(109,INDIRECT(Output_Table[[#This Row],[First cell]]):INDIRECT(Output_Table[[#This Row],[Last cell]])),0)</f>
        <v>40</v>
      </c>
      <c r="Q101" s="57"/>
      <c r="R101" s="57"/>
      <c r="S101" s="33" t="s">
        <v>99</v>
      </c>
      <c r="T101" s="61">
        <v>2018</v>
      </c>
      <c r="U101" s="57">
        <f>_xlfn.NUMBERVALUE(Output_Table[[#This Row],[Year]]&amp;TEXT(_xlfn.IFNA(VLOOKUP(Output_Table[[#This Row],[Output month]],OutupMonth_Table[],2,FALSE),""),"00"))</f>
        <v>201812</v>
      </c>
      <c r="V101" s="57">
        <f>_xlfn.NUMBERVALUE(YEAR(Output_Table[[#This Row],[Out by]])&amp; TEXT(MONTH(Output_Table[[#This Row],[Out by]]),"00"))</f>
        <v>201812</v>
      </c>
      <c r="W101" s="57" t="str">
        <f>ADDRESS(MATCH(Output_Table[[#This Row],[Year &amp; month output plan]],Output_Table[[#All],[Year &amp; month output plan]],0)+2,COLUMN(Output_Table[[#This Row],[Out qty]]),4,1)</f>
        <v>K97</v>
      </c>
      <c r="X101" s="57" t="str">
        <f>ADDRESS(MATCH(Output_Table[[#This Row],[Year &amp; month output plan]],Output_Table[[#All],[Year &amp; month output plan]],1)+2,COLUMN(Output_Table[[#This Row],[Out qty]]),4,1)</f>
        <v>K101</v>
      </c>
      <c r="Y101" s="57" t="str">
        <f>ADDRESS(MATCH(Output_Table[[#This Row],[Year &amp; month output plan]],Output_Table[[#All],[Year &amp; month output plan]],0)+2,COLUMN(Output_Table[[#This Row],[In stock (month begins)]]),4,1)</f>
        <v>Q97</v>
      </c>
      <c r="Z101" s="57" t="str">
        <f>ADDRESS(MATCH(Output_Table[[#This Row],[Year &amp; month output plan]],Output_Table[[#All],[Year &amp; month output plan]],0)+2,COLUMN(Output_Table[[#This Row],[Month plan]]),4,1)</f>
        <v>R97</v>
      </c>
      <c r="AA101" s="57">
        <f>IF(MATCH(Output_Table[[#This Row],[Year &amp; month output plan]],Output_Table[[#All],[Year &amp; month output plan]],0)+2=ROW(Output_Table[[#This Row],[Job]]),1,0)</f>
        <v>0</v>
      </c>
      <c r="AB101" s="57">
        <f>IF(MATCH(Output_Table[[#This Row],[Year &amp; month output plan]],Output_Table[[#All],[Year &amp; month output plan]],1)+2=ROW(Output_Table[[#This Row],[Job]]),1,0)</f>
        <v>1</v>
      </c>
      <c r="AC101" s="57">
        <f>IFERROR(VALUE(LEFT(Output_Table[[#This Row],[Progress]],2)),"")</f>
        <v>20</v>
      </c>
    </row>
    <row r="102" spans="1:29" ht="60" x14ac:dyDescent="0.25">
      <c r="A102" s="76" t="s">
        <v>313</v>
      </c>
      <c r="B102" s="41">
        <v>43431</v>
      </c>
      <c r="C102" s="33">
        <v>8</v>
      </c>
      <c r="D102" s="33" t="s">
        <v>5</v>
      </c>
      <c r="E102" s="42" t="s">
        <v>317</v>
      </c>
      <c r="F102" s="95" t="s">
        <v>321</v>
      </c>
      <c r="G102" s="33" t="s">
        <v>42</v>
      </c>
      <c r="H102" s="84">
        <f>_xlfn.IFNA(VLOOKUP(Output_Table[[#This Row],[Progress]],ProgressCalculation_List,6,FALSE),"")</f>
        <v>1.0000000000000002</v>
      </c>
      <c r="I102" s="92" t="s">
        <v>219</v>
      </c>
      <c r="J102" s="93">
        <v>43468</v>
      </c>
      <c r="K102" s="88">
        <v>8</v>
      </c>
      <c r="L102" s="90"/>
      <c r="M102" s="45">
        <v>43444.645833333336</v>
      </c>
      <c r="N102" s="42" t="s">
        <v>331</v>
      </c>
      <c r="O102" s="57">
        <f ca="1">IFERROR(INDIRECT(Output_Table[[#This Row],[Month plan begins]])-INDIRECT(Output_Table[[#This Row],[In stock Month begins]])-Output_Table[[#This Row],[Assembled]],0)</f>
        <v>-32</v>
      </c>
      <c r="P102" s="96">
        <f ca="1">IFERROR(SUBTOTAL(109,INDIRECT(Output_Table[[#This Row],[First cell]]):INDIRECT(Output_Table[[#This Row],[Last cell]])),0)</f>
        <v>32</v>
      </c>
      <c r="Q102" s="57"/>
      <c r="R102" s="57"/>
      <c r="S102" s="33" t="s">
        <v>90</v>
      </c>
      <c r="T102" s="61">
        <v>2019</v>
      </c>
      <c r="U102" s="57">
        <f>_xlfn.NUMBERVALUE(Output_Table[[#This Row],[Year]]&amp;TEXT(_xlfn.IFNA(VLOOKUP(Output_Table[[#This Row],[Output month]],OutupMonth_Table[],2,FALSE),""),"00"))</f>
        <v>201901</v>
      </c>
      <c r="V102" s="57">
        <f>_xlfn.NUMBERVALUE(YEAR(Output_Table[[#This Row],[Out by]])&amp; TEXT(MONTH(Output_Table[[#This Row],[Out by]]),"00"))</f>
        <v>201901</v>
      </c>
      <c r="W102" s="57" t="str">
        <f>ADDRESS(MATCH(Output_Table[[#This Row],[Year &amp; month output plan]],Output_Table[[#All],[Year &amp; month output plan]],0)+2,COLUMN(Output_Table[[#This Row],[Out qty]]),4,1)</f>
        <v>K102</v>
      </c>
      <c r="X102" s="57" t="str">
        <f>ADDRESS(MATCH(Output_Table[[#This Row],[Year &amp; month output plan]],Output_Table[[#All],[Year &amp; month output plan]],1)+2,COLUMN(Output_Table[[#This Row],[Out qty]]),4,1)</f>
        <v>K107</v>
      </c>
      <c r="Y102" s="57" t="str">
        <f>ADDRESS(MATCH(Output_Table[[#This Row],[Year &amp; month output plan]],Output_Table[[#All],[Year &amp; month output plan]],0)+2,COLUMN(Output_Table[[#This Row],[In stock (month begins)]]),4,1)</f>
        <v>Q102</v>
      </c>
      <c r="Z102" s="57" t="str">
        <f>ADDRESS(MATCH(Output_Table[[#This Row],[Year &amp; month output plan]],Output_Table[[#All],[Year &amp; month output plan]],0)+2,COLUMN(Output_Table[[#This Row],[Month plan]]),4,1)</f>
        <v>R102</v>
      </c>
      <c r="AA102" s="57">
        <f>IF(MATCH(Output_Table[[#This Row],[Year &amp; month output plan]],Output_Table[[#All],[Year &amp; month output plan]],0)+2=ROW(Output_Table[[#This Row],[Job]]),1,0)</f>
        <v>1</v>
      </c>
      <c r="AB102" s="57">
        <f>IF(MATCH(Output_Table[[#This Row],[Year &amp; month output plan]],Output_Table[[#All],[Year &amp; month output plan]],1)+2=ROW(Output_Table[[#This Row],[Job]]),1,0)</f>
        <v>0</v>
      </c>
      <c r="AC102" s="57">
        <f>IFERROR(VALUE(LEFT(Output_Table[[#This Row],[Progress]],2)),"")</f>
        <v>20</v>
      </c>
    </row>
    <row r="103" spans="1:29" ht="45" x14ac:dyDescent="0.25">
      <c r="A103" s="76" t="s">
        <v>315</v>
      </c>
      <c r="B103" s="41">
        <v>43437</v>
      </c>
      <c r="C103" s="33">
        <v>8</v>
      </c>
      <c r="D103" s="33" t="s">
        <v>5</v>
      </c>
      <c r="E103" s="42" t="s">
        <v>316</v>
      </c>
      <c r="F103" s="95" t="s">
        <v>319</v>
      </c>
      <c r="G103" s="33" t="s">
        <v>42</v>
      </c>
      <c r="H103" s="84">
        <f>_xlfn.IFNA(VLOOKUP(Output_Table[[#This Row],[Progress]],ProgressCalculation_List,6,FALSE),"")</f>
        <v>1.0000000000000002</v>
      </c>
      <c r="I103" s="92" t="s">
        <v>219</v>
      </c>
      <c r="J103" s="93">
        <v>43474</v>
      </c>
      <c r="K103" s="88">
        <v>8</v>
      </c>
      <c r="L103" s="90"/>
      <c r="M103" s="45">
        <v>43445.5</v>
      </c>
      <c r="N103" s="33" t="s">
        <v>332</v>
      </c>
      <c r="O103" s="57">
        <f ca="1">IFERROR(INDIRECT(Output_Table[[#This Row],[Month plan begins]])-INDIRECT(Output_Table[[#This Row],[In stock Month begins]])-Output_Table[[#This Row],[Assembled]],0)</f>
        <v>-32</v>
      </c>
      <c r="P103" s="96">
        <f ca="1">IFERROR(SUBTOTAL(109,INDIRECT(Output_Table[[#This Row],[First cell]]):INDIRECT(Output_Table[[#This Row],[Last cell]])),0)</f>
        <v>32</v>
      </c>
      <c r="Q103" s="57"/>
      <c r="R103" s="57"/>
      <c r="S103" s="33" t="s">
        <v>90</v>
      </c>
      <c r="T103" s="61">
        <v>2019</v>
      </c>
      <c r="U103" s="57">
        <f>_xlfn.NUMBERVALUE(Output_Table[[#This Row],[Year]]&amp;TEXT(_xlfn.IFNA(VLOOKUP(Output_Table[[#This Row],[Output month]],OutupMonth_Table[],2,FALSE),""),"00"))</f>
        <v>201901</v>
      </c>
      <c r="V103" s="57">
        <f>_xlfn.NUMBERVALUE(YEAR(Output_Table[[#This Row],[Out by]])&amp; TEXT(MONTH(Output_Table[[#This Row],[Out by]]),"00"))</f>
        <v>201901</v>
      </c>
      <c r="W103" s="57" t="str">
        <f>ADDRESS(MATCH(Output_Table[[#This Row],[Year &amp; month output plan]],Output_Table[[#All],[Year &amp; month output plan]],0)+2,COLUMN(Output_Table[[#This Row],[Out qty]]),4,1)</f>
        <v>K102</v>
      </c>
      <c r="X103" s="57" t="str">
        <f>ADDRESS(MATCH(Output_Table[[#This Row],[Year &amp; month output plan]],Output_Table[[#All],[Year &amp; month output plan]],1)+2,COLUMN(Output_Table[[#This Row],[Out qty]]),4,1)</f>
        <v>K107</v>
      </c>
      <c r="Y103" s="57" t="str">
        <f>ADDRESS(MATCH(Output_Table[[#This Row],[Year &amp; month output plan]],Output_Table[[#All],[Year &amp; month output plan]],0)+2,COLUMN(Output_Table[[#This Row],[In stock (month begins)]]),4,1)</f>
        <v>Q102</v>
      </c>
      <c r="Z103" s="57" t="str">
        <f>ADDRESS(MATCH(Output_Table[[#This Row],[Year &amp; month output plan]],Output_Table[[#All],[Year &amp; month output plan]],0)+2,COLUMN(Output_Table[[#This Row],[Month plan]]),4,1)</f>
        <v>R102</v>
      </c>
      <c r="AA103" s="57">
        <f>IF(MATCH(Output_Table[[#This Row],[Year &amp; month output plan]],Output_Table[[#All],[Year &amp; month output plan]],0)+2=ROW(Output_Table[[#This Row],[Job]]),1,0)</f>
        <v>0</v>
      </c>
      <c r="AB103" s="57">
        <f>IF(MATCH(Output_Table[[#This Row],[Year &amp; month output plan]],Output_Table[[#All],[Year &amp; month output plan]],1)+2=ROW(Output_Table[[#This Row],[Job]]),1,0)</f>
        <v>0</v>
      </c>
      <c r="AC103" s="57">
        <f>IFERROR(VALUE(LEFT(Output_Table[[#This Row],[Progress]],2)),"")</f>
        <v>20</v>
      </c>
    </row>
    <row r="104" spans="1:29" ht="60" x14ac:dyDescent="0.25">
      <c r="A104" s="76" t="s">
        <v>318</v>
      </c>
      <c r="B104" s="41">
        <v>43438</v>
      </c>
      <c r="C104" s="33">
        <v>8</v>
      </c>
      <c r="D104" s="33" t="s">
        <v>5</v>
      </c>
      <c r="E104" s="42" t="s">
        <v>320</v>
      </c>
      <c r="F104" s="95" t="s">
        <v>322</v>
      </c>
      <c r="G104" s="33" t="s">
        <v>42</v>
      </c>
      <c r="H104" s="84">
        <f>_xlfn.IFNA(VLOOKUP(Output_Table[[#This Row],[Progress]],ProgressCalculation_List,6,FALSE),"")</f>
        <v>1.0000000000000002</v>
      </c>
      <c r="I104" s="92" t="s">
        <v>219</v>
      </c>
      <c r="J104" s="93">
        <v>43474</v>
      </c>
      <c r="K104" s="88">
        <v>8</v>
      </c>
      <c r="L104" s="131"/>
      <c r="M104" s="45">
        <v>43446.625</v>
      </c>
      <c r="N104" s="42" t="s">
        <v>332</v>
      </c>
      <c r="O104" s="57">
        <f ca="1">IFERROR(INDIRECT(Output_Table[[#This Row],[Month plan begins]])-INDIRECT(Output_Table[[#This Row],[In stock Month begins]])-Output_Table[[#This Row],[Assembled]],0)</f>
        <v>-32</v>
      </c>
      <c r="P104" s="96">
        <f ca="1">IFERROR(SUBTOTAL(109,INDIRECT(Output_Table[[#This Row],[First cell]]):INDIRECT(Output_Table[[#This Row],[Last cell]])),0)</f>
        <v>32</v>
      </c>
      <c r="Q104" s="57"/>
      <c r="R104" s="57"/>
      <c r="S104" s="33" t="s">
        <v>90</v>
      </c>
      <c r="T104" s="61">
        <v>2019</v>
      </c>
      <c r="U104" s="57">
        <f>_xlfn.NUMBERVALUE(Output_Table[[#This Row],[Year]]&amp;TEXT(_xlfn.IFNA(VLOOKUP(Output_Table[[#This Row],[Output month]],OutupMonth_Table[],2,FALSE),""),"00"))</f>
        <v>201901</v>
      </c>
      <c r="V104" s="57">
        <f>_xlfn.NUMBERVALUE(YEAR(Output_Table[[#This Row],[Out by]])&amp; TEXT(MONTH(Output_Table[[#This Row],[Out by]]),"00"))</f>
        <v>201901</v>
      </c>
      <c r="W104" s="57" t="str">
        <f>ADDRESS(MATCH(Output_Table[[#This Row],[Year &amp; month output plan]],Output_Table[[#All],[Year &amp; month output plan]],0)+2,COLUMN(Output_Table[[#This Row],[Out qty]]),4,1)</f>
        <v>K102</v>
      </c>
      <c r="X104" s="57" t="str">
        <f>ADDRESS(MATCH(Output_Table[[#This Row],[Year &amp; month output plan]],Output_Table[[#All],[Year &amp; month output plan]],1)+2,COLUMN(Output_Table[[#This Row],[Out qty]]),4,1)</f>
        <v>K107</v>
      </c>
      <c r="Y104" s="57" t="str">
        <f>ADDRESS(MATCH(Output_Table[[#This Row],[Year &amp; month output plan]],Output_Table[[#All],[Year &amp; month output plan]],0)+2,COLUMN(Output_Table[[#This Row],[In stock (month begins)]]),4,1)</f>
        <v>Q102</v>
      </c>
      <c r="Z104" s="57" t="str">
        <f>ADDRESS(MATCH(Output_Table[[#This Row],[Year &amp; month output plan]],Output_Table[[#All],[Year &amp; month output plan]],0)+2,COLUMN(Output_Table[[#This Row],[Month plan]]),4,1)</f>
        <v>R102</v>
      </c>
      <c r="AA104" s="57">
        <f>IF(MATCH(Output_Table[[#This Row],[Year &amp; month output plan]],Output_Table[[#All],[Year &amp; month output plan]],0)+2=ROW(Output_Table[[#This Row],[Job]]),1,0)</f>
        <v>0</v>
      </c>
      <c r="AB104" s="57">
        <f>IF(MATCH(Output_Table[[#This Row],[Year &amp; month output plan]],Output_Table[[#All],[Year &amp; month output plan]],1)+2=ROW(Output_Table[[#This Row],[Job]]),1,0)</f>
        <v>0</v>
      </c>
      <c r="AC104" s="57">
        <f>IFERROR(VALUE(LEFT(Output_Table[[#This Row],[Progress]],2)),"")</f>
        <v>20</v>
      </c>
    </row>
    <row r="105" spans="1:29" ht="60" x14ac:dyDescent="0.25">
      <c r="A105" s="76" t="s">
        <v>325</v>
      </c>
      <c r="B105" s="41">
        <v>43453</v>
      </c>
      <c r="C105" s="33">
        <v>8</v>
      </c>
      <c r="D105" s="33" t="s">
        <v>5</v>
      </c>
      <c r="E105" s="42" t="s">
        <v>346</v>
      </c>
      <c r="F105" s="95" t="s">
        <v>348</v>
      </c>
      <c r="G105" s="33" t="s">
        <v>14</v>
      </c>
      <c r="H105" s="84">
        <f>_xlfn.IFNA(VLOOKUP(Output_Table[[#This Row],[Progress]],ProgressCalculation_List,6,FALSE),"")</f>
        <v>0.449438202247191</v>
      </c>
      <c r="I105" s="92" t="s">
        <v>219</v>
      </c>
      <c r="J105" s="93">
        <v>43483</v>
      </c>
      <c r="K105" s="88"/>
      <c r="L105" s="132"/>
      <c r="M105" s="33"/>
      <c r="N105" s="55"/>
      <c r="O105" s="57">
        <f ca="1">IFERROR(INDIRECT(Output_Table[[#This Row],[Month plan begins]])-INDIRECT(Output_Table[[#This Row],[In stock Month begins]])-Output_Table[[#This Row],[Assembled]],0)</f>
        <v>-32</v>
      </c>
      <c r="P105" s="96">
        <f ca="1">IFERROR(SUBTOTAL(109,INDIRECT(Output_Table[[#This Row],[First cell]]):INDIRECT(Output_Table[[#This Row],[Last cell]])),0)</f>
        <v>32</v>
      </c>
      <c r="Q105" s="57"/>
      <c r="R105" s="57"/>
      <c r="S105" s="33" t="s">
        <v>90</v>
      </c>
      <c r="T105" s="61">
        <v>2019</v>
      </c>
      <c r="U105" s="57">
        <f>_xlfn.NUMBERVALUE(Output_Table[[#This Row],[Year]]&amp;TEXT(_xlfn.IFNA(VLOOKUP(Output_Table[[#This Row],[Output month]],OutupMonth_Table[],2,FALSE),""),"00"))</f>
        <v>201901</v>
      </c>
      <c r="V105" s="57">
        <f>_xlfn.NUMBERVALUE(YEAR(Output_Table[[#This Row],[Out by]])&amp; TEXT(MONTH(Output_Table[[#This Row],[Out by]]),"00"))</f>
        <v>201901</v>
      </c>
      <c r="W105" s="57" t="str">
        <f>ADDRESS(MATCH(Output_Table[[#This Row],[Year &amp; month output plan]],Output_Table[[#All],[Year &amp; month output plan]],0)+2,COLUMN(Output_Table[[#This Row],[Out qty]]),4,1)</f>
        <v>K102</v>
      </c>
      <c r="X105" s="57" t="str">
        <f>ADDRESS(MATCH(Output_Table[[#This Row],[Year &amp; month output plan]],Output_Table[[#All],[Year &amp; month output plan]],1)+2,COLUMN(Output_Table[[#This Row],[Out qty]]),4,1)</f>
        <v>K107</v>
      </c>
      <c r="Y105" s="57" t="str">
        <f>ADDRESS(MATCH(Output_Table[[#This Row],[Year &amp; month output plan]],Output_Table[[#All],[Year &amp; month output plan]],0)+2,COLUMN(Output_Table[[#This Row],[In stock (month begins)]]),4,1)</f>
        <v>Q102</v>
      </c>
      <c r="Z105" s="57" t="str">
        <f>ADDRESS(MATCH(Output_Table[[#This Row],[Year &amp; month output plan]],Output_Table[[#All],[Year &amp; month output plan]],0)+2,COLUMN(Output_Table[[#This Row],[Month plan]]),4,1)</f>
        <v>R102</v>
      </c>
      <c r="AA105" s="57">
        <f>IF(MATCH(Output_Table[[#This Row],[Year &amp; month output plan]],Output_Table[[#All],[Year &amp; month output plan]],0)+2=ROW(Output_Table[[#This Row],[Job]]),1,0)</f>
        <v>0</v>
      </c>
      <c r="AB105" s="57">
        <f>IF(MATCH(Output_Table[[#This Row],[Year &amp; month output plan]],Output_Table[[#All],[Year &amp; month output plan]],1)+2=ROW(Output_Table[[#This Row],[Job]]),1,0)</f>
        <v>0</v>
      </c>
      <c r="AC105" s="57">
        <f>IFERROR(VALUE(LEFT(Output_Table[[#This Row],[Progress]],2)),"")</f>
        <v>10</v>
      </c>
    </row>
    <row r="106" spans="1:29" x14ac:dyDescent="0.25">
      <c r="A106" s="76" t="s">
        <v>326</v>
      </c>
      <c r="B106" s="41">
        <v>43453</v>
      </c>
      <c r="C106" s="33">
        <v>8</v>
      </c>
      <c r="D106" s="33" t="s">
        <v>5</v>
      </c>
      <c r="E106" s="42" t="s">
        <v>327</v>
      </c>
      <c r="F106" s="41">
        <v>43452</v>
      </c>
      <c r="G106" s="33" t="s">
        <v>14</v>
      </c>
      <c r="H106" s="84">
        <f>_xlfn.IFNA(VLOOKUP(Output_Table[[#This Row],[Progress]],ProgressCalculation_List,6,FALSE),"")</f>
        <v>0.449438202247191</v>
      </c>
      <c r="I106" s="92" t="s">
        <v>219</v>
      </c>
      <c r="J106" s="93">
        <v>43483</v>
      </c>
      <c r="K106" s="88">
        <v>8</v>
      </c>
      <c r="L106" s="133"/>
      <c r="M106" s="45">
        <v>43467.541666666664</v>
      </c>
      <c r="N106" s="55"/>
      <c r="O106" s="57">
        <f ca="1">IFERROR(INDIRECT(Output_Table[[#This Row],[Month plan begins]])-INDIRECT(Output_Table[[#This Row],[In stock Month begins]])-Output_Table[[#This Row],[Assembled]],0)</f>
        <v>-32</v>
      </c>
      <c r="P106" s="96">
        <f ca="1">IFERROR(SUBTOTAL(109,INDIRECT(Output_Table[[#This Row],[First cell]]):INDIRECT(Output_Table[[#This Row],[Last cell]])),0)</f>
        <v>32</v>
      </c>
      <c r="Q106" s="57"/>
      <c r="R106" s="57"/>
      <c r="S106" s="33" t="s">
        <v>90</v>
      </c>
      <c r="T106" s="61">
        <v>2019</v>
      </c>
      <c r="U106" s="57">
        <f>_xlfn.NUMBERVALUE(Output_Table[[#This Row],[Year]]&amp;TEXT(_xlfn.IFNA(VLOOKUP(Output_Table[[#This Row],[Output month]],OutupMonth_Table[],2,FALSE),""),"00"))</f>
        <v>201901</v>
      </c>
      <c r="V106" s="57">
        <f>_xlfn.NUMBERVALUE(YEAR(Output_Table[[#This Row],[Out by]])&amp; TEXT(MONTH(Output_Table[[#This Row],[Out by]]),"00"))</f>
        <v>201901</v>
      </c>
      <c r="W106" s="57" t="str">
        <f>ADDRESS(MATCH(Output_Table[[#This Row],[Year &amp; month output plan]],Output_Table[[#All],[Year &amp; month output plan]],0)+2,COLUMN(Output_Table[[#This Row],[Out qty]]),4,1)</f>
        <v>K102</v>
      </c>
      <c r="X106" s="57" t="str">
        <f>ADDRESS(MATCH(Output_Table[[#This Row],[Year &amp; month output plan]],Output_Table[[#All],[Year &amp; month output plan]],1)+2,COLUMN(Output_Table[[#This Row],[Out qty]]),4,1)</f>
        <v>K107</v>
      </c>
      <c r="Y106" s="57" t="str">
        <f>ADDRESS(MATCH(Output_Table[[#This Row],[Year &amp; month output plan]],Output_Table[[#All],[Year &amp; month output plan]],0)+2,COLUMN(Output_Table[[#This Row],[In stock (month begins)]]),4,1)</f>
        <v>Q102</v>
      </c>
      <c r="Z106" s="57" t="str">
        <f>ADDRESS(MATCH(Output_Table[[#This Row],[Year &amp; month output plan]],Output_Table[[#All],[Year &amp; month output plan]],0)+2,COLUMN(Output_Table[[#This Row],[Month plan]]),4,1)</f>
        <v>R102</v>
      </c>
      <c r="AA106" s="57">
        <f>IF(MATCH(Output_Table[[#This Row],[Year &amp; month output plan]],Output_Table[[#All],[Year &amp; month output plan]],0)+2=ROW(Output_Table[[#This Row],[Job]]),1,0)</f>
        <v>0</v>
      </c>
      <c r="AB106" s="57">
        <f>IF(MATCH(Output_Table[[#This Row],[Year &amp; month output plan]],Output_Table[[#All],[Year &amp; month output plan]],1)+2=ROW(Output_Table[[#This Row],[Job]]),1,0)</f>
        <v>0</v>
      </c>
      <c r="AC106" s="57">
        <f>IFERROR(VALUE(LEFT(Output_Table[[#This Row],[Progress]],2)),"")</f>
        <v>10</v>
      </c>
    </row>
    <row r="107" spans="1:29" ht="45" x14ac:dyDescent="0.25">
      <c r="A107" s="76" t="s">
        <v>328</v>
      </c>
      <c r="B107" s="41">
        <v>43454</v>
      </c>
      <c r="C107" s="33">
        <v>8</v>
      </c>
      <c r="D107" s="33" t="s">
        <v>5</v>
      </c>
      <c r="E107" s="42" t="s">
        <v>329</v>
      </c>
      <c r="F107" s="95" t="s">
        <v>351</v>
      </c>
      <c r="G107" s="33" t="s">
        <v>18</v>
      </c>
      <c r="H107" s="84">
        <f>_xlfn.IFNA(VLOOKUP(Output_Table[[#This Row],[Progress]],ProgressCalculation_List,6,FALSE),"")</f>
        <v>0</v>
      </c>
      <c r="I107" s="92"/>
      <c r="J107" s="93">
        <v>43490</v>
      </c>
      <c r="K107" s="88"/>
      <c r="L107" s="90"/>
      <c r="M107" s="33"/>
      <c r="N107" s="55"/>
      <c r="O107" s="57">
        <f ca="1">IFERROR(INDIRECT(Output_Table[[#This Row],[Month plan begins]])-INDIRECT(Output_Table[[#This Row],[In stock Month begins]])-Output_Table[[#This Row],[Assembled]],0)</f>
        <v>-32</v>
      </c>
      <c r="P107" s="96">
        <f ca="1">IFERROR(SUBTOTAL(109,INDIRECT(Output_Table[[#This Row],[First cell]]):INDIRECT(Output_Table[[#This Row],[Last cell]])),0)</f>
        <v>32</v>
      </c>
      <c r="Q107" s="57"/>
      <c r="R107" s="57"/>
      <c r="S107" s="33" t="s">
        <v>90</v>
      </c>
      <c r="T107" s="61">
        <v>2019</v>
      </c>
      <c r="U107" s="57">
        <f>_xlfn.NUMBERVALUE(Output_Table[[#This Row],[Year]]&amp;TEXT(_xlfn.IFNA(VLOOKUP(Output_Table[[#This Row],[Output month]],OutupMonth_Table[],2,FALSE),""),"00"))</f>
        <v>201901</v>
      </c>
      <c r="V107" s="57">
        <f>_xlfn.NUMBERVALUE(YEAR(Output_Table[[#This Row],[Out by]])&amp; TEXT(MONTH(Output_Table[[#This Row],[Out by]]),"00"))</f>
        <v>201901</v>
      </c>
      <c r="W107" s="57" t="str">
        <f>ADDRESS(MATCH(Output_Table[[#This Row],[Year &amp; month output plan]],Output_Table[[#All],[Year &amp; month output plan]],0)+2,COLUMN(Output_Table[[#This Row],[Out qty]]),4,1)</f>
        <v>K102</v>
      </c>
      <c r="X107" s="57" t="str">
        <f>ADDRESS(MATCH(Output_Table[[#This Row],[Year &amp; month output plan]],Output_Table[[#All],[Year &amp; month output plan]],1)+2,COLUMN(Output_Table[[#This Row],[Out qty]]),4,1)</f>
        <v>K107</v>
      </c>
      <c r="Y107" s="57" t="str">
        <f>ADDRESS(MATCH(Output_Table[[#This Row],[Year &amp; month output plan]],Output_Table[[#All],[Year &amp; month output plan]],0)+2,COLUMN(Output_Table[[#This Row],[In stock (month begins)]]),4,1)</f>
        <v>Q102</v>
      </c>
      <c r="Z107" s="57" t="str">
        <f>ADDRESS(MATCH(Output_Table[[#This Row],[Year &amp; month output plan]],Output_Table[[#All],[Year &amp; month output plan]],0)+2,COLUMN(Output_Table[[#This Row],[Month plan]]),4,1)</f>
        <v>R102</v>
      </c>
      <c r="AA107" s="57">
        <f>IF(MATCH(Output_Table[[#This Row],[Year &amp; month output plan]],Output_Table[[#All],[Year &amp; month output plan]],0)+2=ROW(Output_Table[[#This Row],[Job]]),1,0)</f>
        <v>0</v>
      </c>
      <c r="AB107" s="57">
        <f>IF(MATCH(Output_Table[[#This Row],[Year &amp; month output plan]],Output_Table[[#All],[Year &amp; month output plan]],1)+2=ROW(Output_Table[[#This Row],[Job]]),1,0)</f>
        <v>1</v>
      </c>
      <c r="AC107" s="57">
        <f>IFERROR(VALUE(LEFT(Output_Table[[#This Row],[Progress]],2)),"")</f>
        <v>1</v>
      </c>
    </row>
    <row r="108" spans="1:29" ht="75" x14ac:dyDescent="0.25">
      <c r="A108" s="76" t="s">
        <v>330</v>
      </c>
      <c r="B108" s="41">
        <v>43454</v>
      </c>
      <c r="C108" s="33">
        <v>8</v>
      </c>
      <c r="D108" s="33" t="s">
        <v>5</v>
      </c>
      <c r="E108" s="42" t="s">
        <v>347</v>
      </c>
      <c r="F108" s="134" t="s">
        <v>352</v>
      </c>
      <c r="G108" s="33" t="s">
        <v>18</v>
      </c>
      <c r="H108" s="84">
        <f>_xlfn.IFNA(VLOOKUP(Output_Table[[#This Row],[Progress]],ProgressCalculation_List,6,FALSE),"")</f>
        <v>0</v>
      </c>
      <c r="I108" s="92"/>
      <c r="J108" s="93">
        <v>43490</v>
      </c>
      <c r="K108" s="88"/>
      <c r="L108" s="90"/>
      <c r="M108" s="33"/>
      <c r="N108" s="55"/>
      <c r="O108" s="57">
        <f ca="1">IFERROR(INDIRECT(Output_Table[[#This Row],[Month plan begins]])-INDIRECT(Output_Table[[#This Row],[In stock Month begins]])-Output_Table[[#This Row],[Assembled]],0)</f>
        <v>0</v>
      </c>
      <c r="P108" s="96">
        <f ca="1">IFERROR(SUBTOTAL(109,INDIRECT(Output_Table[[#This Row],[First cell]]):INDIRECT(Output_Table[[#This Row],[Last cell]])),0)</f>
        <v>0</v>
      </c>
      <c r="Q108" s="57"/>
      <c r="R108" s="57"/>
      <c r="S108" s="33" t="s">
        <v>91</v>
      </c>
      <c r="T108" s="61">
        <v>2019</v>
      </c>
      <c r="U108" s="57">
        <f>_xlfn.NUMBERVALUE(Output_Table[[#This Row],[Year]]&amp;TEXT(_xlfn.IFNA(VLOOKUP(Output_Table[[#This Row],[Output month]],OutupMonth_Table[],2,FALSE),""),"00"))</f>
        <v>201902</v>
      </c>
      <c r="V108" s="57">
        <f>_xlfn.NUMBERVALUE(YEAR(Output_Table[[#This Row],[Out by]])&amp; TEXT(MONTH(Output_Table[[#This Row],[Out by]]),"00"))</f>
        <v>201901</v>
      </c>
      <c r="W108" s="57" t="str">
        <f>ADDRESS(MATCH(Output_Table[[#This Row],[Year &amp; month output plan]],Output_Table[[#All],[Year &amp; month output plan]],0)+2,COLUMN(Output_Table[[#This Row],[Out qty]]),4,1)</f>
        <v>K108</v>
      </c>
      <c r="X108" s="57" t="str">
        <f>ADDRESS(MATCH(Output_Table[[#This Row],[Year &amp; month output plan]],Output_Table[[#All],[Year &amp; month output plan]],1)+2,COLUMN(Output_Table[[#This Row],[Out qty]]),4,1)</f>
        <v>K110</v>
      </c>
      <c r="Y108" s="57" t="str">
        <f>ADDRESS(MATCH(Output_Table[[#This Row],[Year &amp; month output plan]],Output_Table[[#All],[Year &amp; month output plan]],0)+2,COLUMN(Output_Table[[#This Row],[In stock (month begins)]]),4,1)</f>
        <v>Q108</v>
      </c>
      <c r="Z108" s="57" t="str">
        <f>ADDRESS(MATCH(Output_Table[[#This Row],[Year &amp; month output plan]],Output_Table[[#All],[Year &amp; month output plan]],0)+2,COLUMN(Output_Table[[#This Row],[Month plan]]),4,1)</f>
        <v>R108</v>
      </c>
      <c r="AA108" s="57">
        <f>IF(MATCH(Output_Table[[#This Row],[Year &amp; month output plan]],Output_Table[[#All],[Year &amp; month output plan]],0)+2=ROW(Output_Table[[#This Row],[Job]]),1,0)</f>
        <v>1</v>
      </c>
      <c r="AB108" s="57">
        <f>IF(MATCH(Output_Table[[#This Row],[Year &amp; month output plan]],Output_Table[[#All],[Year &amp; month output plan]],1)+2=ROW(Output_Table[[#This Row],[Job]]),1,0)</f>
        <v>0</v>
      </c>
      <c r="AC108" s="57">
        <f>IFERROR(VALUE(LEFT(Output_Table[[#This Row],[Progress]],2)),"")</f>
        <v>1</v>
      </c>
    </row>
    <row r="109" spans="1:29" x14ac:dyDescent="0.25">
      <c r="A109" s="76" t="s">
        <v>349</v>
      </c>
      <c r="B109" s="41">
        <v>43472</v>
      </c>
      <c r="C109" s="33">
        <v>8</v>
      </c>
      <c r="D109" s="33" t="s">
        <v>5</v>
      </c>
      <c r="E109" s="33" t="s">
        <v>350</v>
      </c>
      <c r="F109" s="41">
        <v>43472</v>
      </c>
      <c r="G109" s="33" t="s">
        <v>18</v>
      </c>
      <c r="H109" s="84">
        <f>_xlfn.IFNA(VLOOKUP(Output_Table[[#This Row],[Progress]],ProgressCalculation_List,6,FALSE),"")</f>
        <v>0</v>
      </c>
      <c r="I109" s="92"/>
      <c r="J109" s="93">
        <v>43497</v>
      </c>
      <c r="K109" s="88"/>
      <c r="L109" s="90"/>
      <c r="M109" s="33"/>
      <c r="N109" s="33"/>
      <c r="O109" s="57">
        <f ca="1">IFERROR(INDIRECT(Output_Table[[#This Row],[Month plan begins]])-INDIRECT(Output_Table[[#This Row],[In stock Month begins]])-Output_Table[[#This Row],[Assembled]],0)</f>
        <v>0</v>
      </c>
      <c r="P109" s="96">
        <f ca="1">IFERROR(SUBTOTAL(109,INDIRECT(Output_Table[[#This Row],[First cell]]):INDIRECT(Output_Table[[#This Row],[Last cell]])),0)</f>
        <v>0</v>
      </c>
      <c r="Q109" s="57"/>
      <c r="R109" s="57"/>
      <c r="S109" s="33" t="s">
        <v>91</v>
      </c>
      <c r="T109" s="61">
        <v>2019</v>
      </c>
      <c r="U109" s="57">
        <f>_xlfn.NUMBERVALUE(Output_Table[[#This Row],[Year]]&amp;TEXT(_xlfn.IFNA(VLOOKUP(Output_Table[[#This Row],[Output month]],OutupMonth_Table[],2,FALSE),""),"00"))</f>
        <v>201902</v>
      </c>
      <c r="V109" s="57">
        <f>_xlfn.NUMBERVALUE(YEAR(Output_Table[[#This Row],[Out by]])&amp; TEXT(MONTH(Output_Table[[#This Row],[Out by]]),"00"))</f>
        <v>201902</v>
      </c>
      <c r="W109" s="57" t="str">
        <f>ADDRESS(MATCH(Output_Table[[#This Row],[Year &amp; month output plan]],Output_Table[[#All],[Year &amp; month output plan]],0)+2,COLUMN(Output_Table[[#This Row],[Out qty]]),4,1)</f>
        <v>K108</v>
      </c>
      <c r="X109" s="57" t="str">
        <f>ADDRESS(MATCH(Output_Table[[#This Row],[Year &amp; month output plan]],Output_Table[[#All],[Year &amp; month output plan]],1)+2,COLUMN(Output_Table[[#This Row],[Out qty]]),4,1)</f>
        <v>K110</v>
      </c>
      <c r="Y109" s="57" t="str">
        <f>ADDRESS(MATCH(Output_Table[[#This Row],[Year &amp; month output plan]],Output_Table[[#All],[Year &amp; month output plan]],0)+2,COLUMN(Output_Table[[#This Row],[In stock (month begins)]]),4,1)</f>
        <v>Q108</v>
      </c>
      <c r="Z109" s="57" t="str">
        <f>ADDRESS(MATCH(Output_Table[[#This Row],[Year &amp; month output plan]],Output_Table[[#All],[Year &amp; month output plan]],0)+2,COLUMN(Output_Table[[#This Row],[Month plan]]),4,1)</f>
        <v>R108</v>
      </c>
      <c r="AA109" s="57">
        <f>IF(MATCH(Output_Table[[#This Row],[Year &amp; month output plan]],Output_Table[[#All],[Year &amp; month output plan]],0)+2=ROW(Output_Table[[#This Row],[Job]]),1,0)</f>
        <v>0</v>
      </c>
      <c r="AB109" s="57">
        <f>IF(MATCH(Output_Table[[#This Row],[Year &amp; month output plan]],Output_Table[[#All],[Year &amp; month output plan]],1)+2=ROW(Output_Table[[#This Row],[Job]]),1,0)</f>
        <v>0</v>
      </c>
      <c r="AC109" s="57">
        <f>IFERROR(VALUE(LEFT(Output_Table[[#This Row],[Progress]],2)),"")</f>
        <v>1</v>
      </c>
    </row>
    <row r="110" spans="1:29" ht="45" x14ac:dyDescent="0.25">
      <c r="A110" s="76" t="s">
        <v>354</v>
      </c>
      <c r="B110" s="41">
        <v>43472</v>
      </c>
      <c r="C110" s="33">
        <v>8</v>
      </c>
      <c r="D110" s="33" t="s">
        <v>5</v>
      </c>
      <c r="E110" s="42" t="s">
        <v>353</v>
      </c>
      <c r="F110" s="134" t="s">
        <v>355</v>
      </c>
      <c r="G110" s="33" t="s">
        <v>18</v>
      </c>
      <c r="H110" s="84">
        <f>_xlfn.IFNA(VLOOKUP(Output_Table[[#This Row],[Progress]],ProgressCalculation_List,6,FALSE),"")</f>
        <v>0</v>
      </c>
      <c r="I110" s="92"/>
      <c r="J110" s="93">
        <v>43497</v>
      </c>
      <c r="K110" s="88"/>
      <c r="L110" s="90"/>
      <c r="M110" s="33"/>
      <c r="N110" s="33"/>
      <c r="O110" s="57">
        <f ca="1">IFERROR(INDIRECT(Output_Table[[#This Row],[Month plan begins]])-INDIRECT(Output_Table[[#This Row],[In stock Month begins]])-Output_Table[[#This Row],[Assembled]],0)</f>
        <v>0</v>
      </c>
      <c r="P110" s="96">
        <f ca="1">IFERROR(SUBTOTAL(109,INDIRECT(Output_Table[[#This Row],[First cell]]):INDIRECT(Output_Table[[#This Row],[Last cell]])),0)</f>
        <v>0</v>
      </c>
      <c r="Q110" s="57"/>
      <c r="R110" s="57"/>
      <c r="S110" s="33" t="s">
        <v>91</v>
      </c>
      <c r="T110" s="61">
        <v>2019</v>
      </c>
      <c r="U110" s="57">
        <f>_xlfn.NUMBERVALUE(Output_Table[[#This Row],[Year]]&amp;TEXT(_xlfn.IFNA(VLOOKUP(Output_Table[[#This Row],[Output month]],OutupMonth_Table[],2,FALSE),""),"00"))</f>
        <v>201902</v>
      </c>
      <c r="V110" s="57">
        <f>_xlfn.NUMBERVALUE(YEAR(Output_Table[[#This Row],[Out by]])&amp; TEXT(MONTH(Output_Table[[#This Row],[Out by]]),"00"))</f>
        <v>201902</v>
      </c>
      <c r="W110" s="57" t="str">
        <f>ADDRESS(MATCH(Output_Table[[#This Row],[Year &amp; month output plan]],Output_Table[[#All],[Year &amp; month output plan]],0)+2,COLUMN(Output_Table[[#This Row],[Out qty]]),4,1)</f>
        <v>K108</v>
      </c>
      <c r="X110" s="57" t="str">
        <f>ADDRESS(MATCH(Output_Table[[#This Row],[Year &amp; month output plan]],Output_Table[[#All],[Year &amp; month output plan]],1)+2,COLUMN(Output_Table[[#This Row],[Out qty]]),4,1)</f>
        <v>K110</v>
      </c>
      <c r="Y110" s="57" t="str">
        <f>ADDRESS(MATCH(Output_Table[[#This Row],[Year &amp; month output plan]],Output_Table[[#All],[Year &amp; month output plan]],0)+2,COLUMN(Output_Table[[#This Row],[In stock (month begins)]]),4,1)</f>
        <v>Q108</v>
      </c>
      <c r="Z110" s="57" t="str">
        <f>ADDRESS(MATCH(Output_Table[[#This Row],[Year &amp; month output plan]],Output_Table[[#All],[Year &amp; month output plan]],0)+2,COLUMN(Output_Table[[#This Row],[Month plan]]),4,1)</f>
        <v>R108</v>
      </c>
      <c r="AA110" s="57">
        <f>IF(MATCH(Output_Table[[#This Row],[Year &amp; month output plan]],Output_Table[[#All],[Year &amp; month output plan]],0)+2=ROW(Output_Table[[#This Row],[Job]]),1,0)</f>
        <v>0</v>
      </c>
      <c r="AB110" s="57">
        <f>IF(MATCH(Output_Table[[#This Row],[Year &amp; month output plan]],Output_Table[[#All],[Year &amp; month output plan]],1)+2=ROW(Output_Table[[#This Row],[Job]]),1,0)</f>
        <v>1</v>
      </c>
      <c r="AC110" s="57">
        <f>IFERROR(VALUE(LEFT(Output_Table[[#This Row],[Progress]],2)),"")</f>
        <v>1</v>
      </c>
    </row>
  </sheetData>
  <mergeCells count="3">
    <mergeCell ref="Q2:T2"/>
    <mergeCell ref="H2:K2"/>
    <mergeCell ref="A1:O1"/>
  </mergeCells>
  <conditionalFormatting sqref="E4:E110">
    <cfRule type="expression" dxfId="53" priority="145">
      <formula>$D4="Yes"</formula>
    </cfRule>
  </conditionalFormatting>
  <conditionalFormatting sqref="G4:G110">
    <cfRule type="cellIs" dxfId="52" priority="134" operator="equal">
      <formula>"19. Despatch"</formula>
    </cfRule>
    <cfRule type="cellIs" dxfId="51" priority="136" operator="equal">
      <formula>"18. Final inspection"</formula>
    </cfRule>
    <cfRule type="cellIs" dxfId="50" priority="147" operator="equal">
      <formula>"20. Fail"</formula>
    </cfRule>
    <cfRule type="cellIs" dxfId="49" priority="148" operator="equal">
      <formula>"20. Out"</formula>
    </cfRule>
  </conditionalFormatting>
  <conditionalFormatting sqref="D4:D110">
    <cfRule type="cellIs" dxfId="48" priority="141" operator="equal">
      <formula>"Yes"</formula>
    </cfRule>
  </conditionalFormatting>
  <conditionalFormatting sqref="Q2">
    <cfRule type="expression" dxfId="47" priority="92">
      <formula>$D2="Yes"</formula>
    </cfRule>
  </conditionalFormatting>
  <conditionalFormatting sqref="S4:S88">
    <cfRule type="cellIs" dxfId="46" priority="117" operator="equal">
      <formula>"August"</formula>
    </cfRule>
  </conditionalFormatting>
  <conditionalFormatting sqref="P4:P110">
    <cfRule type="expression" dxfId="45" priority="4">
      <formula>$AB4=1</formula>
    </cfRule>
    <cfRule type="expression" dxfId="44" priority="5">
      <formula>$AB4=0</formula>
    </cfRule>
    <cfRule type="cellIs" dxfId="43" priority="82" operator="greaterThan">
      <formula>0</formula>
    </cfRule>
  </conditionalFormatting>
  <conditionalFormatting sqref="S4:S110">
    <cfRule type="cellIs" dxfId="42" priority="113" operator="equal">
      <formula>"December"</formula>
    </cfRule>
    <cfRule type="cellIs" dxfId="41" priority="114" operator="equal">
      <formula>"November"</formula>
    </cfRule>
    <cfRule type="cellIs" dxfId="40" priority="115" operator="equal">
      <formula>"October"</formula>
    </cfRule>
    <cfRule type="cellIs" dxfId="39" priority="116" operator="equal">
      <formula>"September"</formula>
    </cfRule>
    <cfRule type="cellIs" dxfId="38" priority="118" operator="equal">
      <formula>"July"</formula>
    </cfRule>
    <cfRule type="cellIs" dxfId="37" priority="119" operator="equal">
      <formula>"June"</formula>
    </cfRule>
    <cfRule type="cellIs" dxfId="36" priority="120" operator="equal">
      <formula>"May"</formula>
    </cfRule>
    <cfRule type="cellIs" dxfId="35" priority="121" operator="equal">
      <formula>"April"</formula>
    </cfRule>
    <cfRule type="cellIs" dxfId="34" priority="122" operator="equal">
      <formula>"March"</formula>
    </cfRule>
    <cfRule type="cellIs" dxfId="33" priority="123" operator="equal">
      <formula>"February"</formula>
    </cfRule>
    <cfRule type="cellIs" dxfId="32" priority="124" operator="equal">
      <formula>"January"</formula>
    </cfRule>
  </conditionalFormatting>
  <conditionalFormatting sqref="I4:I110">
    <cfRule type="cellIs" dxfId="31" priority="35" operator="equal">
      <formula>"Vincent"</formula>
    </cfRule>
    <cfRule type="cellIs" dxfId="30" priority="38" operator="equal">
      <formula>"Martin"</formula>
    </cfRule>
    <cfRule type="cellIs" dxfId="29" priority="39" operator="equal">
      <formula>"Dean"</formula>
    </cfRule>
  </conditionalFormatting>
  <conditionalFormatting sqref="L4:L110">
    <cfRule type="cellIs" dxfId="28" priority="37" operator="notEqual">
      <formula>""""""</formula>
    </cfRule>
  </conditionalFormatting>
  <conditionalFormatting sqref="K4:K110">
    <cfRule type="expression" dxfId="27" priority="36">
      <formula>$K4&lt;$C4</formula>
    </cfRule>
  </conditionalFormatting>
  <conditionalFormatting sqref="Q4:Q110">
    <cfRule type="expression" dxfId="26" priority="6">
      <formula>$AA4=0</formula>
    </cfRule>
    <cfRule type="expression" dxfId="25" priority="7">
      <formula>$AA4=1</formula>
    </cfRule>
    <cfRule type="cellIs" dxfId="24" priority="28" operator="equal">
      <formula>0</formula>
    </cfRule>
  </conditionalFormatting>
  <conditionalFormatting sqref="H4:H110">
    <cfRule type="expression" dxfId="23" priority="182">
      <formula>$G4="02. Initial build"</formula>
    </cfRule>
    <cfRule type="expression" dxfId="22" priority="183">
      <formula>$G4="19. Despatch"</formula>
    </cfRule>
    <cfRule type="expression" dxfId="21" priority="184">
      <formula>$G4="20. Fail"</formula>
    </cfRule>
    <cfRule type="cellIs" dxfId="20" priority="185" operator="equal">
      <formula>0</formula>
    </cfRule>
    <cfRule type="cellIs" dxfId="19" priority="186" operator="equal">
      <formula>1</formula>
    </cfRule>
    <cfRule type="colorScale" priority="187">
      <colorScale>
        <cfvo type="percent" val="0"/>
        <cfvo type="percent" val="40"/>
        <cfvo type="percent" val="100"/>
        <color theme="5" tint="-0.249977111117893"/>
        <color rgb="FFFFEB84"/>
        <color theme="9" tint="-0.249977111117893"/>
      </colorScale>
    </cfRule>
  </conditionalFormatting>
  <conditionalFormatting sqref="A4:A110">
    <cfRule type="expression" dxfId="18" priority="15">
      <formula>$S4="December"</formula>
    </cfRule>
    <cfRule type="expression" dxfId="17" priority="16">
      <formula>$S4="November"</formula>
    </cfRule>
    <cfRule type="expression" dxfId="16" priority="17">
      <formula>$S4="October"</formula>
    </cfRule>
    <cfRule type="expression" dxfId="15" priority="18">
      <formula>$S4="September"</formula>
    </cfRule>
    <cfRule type="expression" dxfId="14" priority="19">
      <formula>$S4="August"</formula>
    </cfRule>
    <cfRule type="expression" dxfId="13" priority="20">
      <formula>$S4="July"</formula>
    </cfRule>
    <cfRule type="expression" dxfId="12" priority="22">
      <formula>$S4="June"</formula>
    </cfRule>
    <cfRule type="expression" dxfId="11" priority="23">
      <formula>$S4="May"</formula>
    </cfRule>
    <cfRule type="expression" dxfId="10" priority="24">
      <formula>$S4="April"</formula>
    </cfRule>
    <cfRule type="expression" dxfId="9" priority="25">
      <formula>$S4="March"</formula>
    </cfRule>
    <cfRule type="expression" dxfId="8" priority="26">
      <formula>$S4="February"</formula>
    </cfRule>
    <cfRule type="expression" dxfId="7" priority="27">
      <formula>$S4="January"</formula>
    </cfRule>
  </conditionalFormatting>
  <conditionalFormatting sqref="O4:O110">
    <cfRule type="expression" dxfId="6" priority="2">
      <formula>$AB4=1</formula>
    </cfRule>
    <cfRule type="expression" dxfId="5" priority="3">
      <formula>$AB4=0</formula>
    </cfRule>
    <cfRule type="cellIs" dxfId="4" priority="86" operator="greaterThan">
      <formula>0</formula>
    </cfRule>
    <cfRule type="cellIs" dxfId="3" priority="90" operator="lessThanOrEqual">
      <formula>0</formula>
    </cfRule>
  </conditionalFormatting>
  <conditionalFormatting sqref="R4:R110">
    <cfRule type="expression" dxfId="2" priority="8">
      <formula>$AA4=0</formula>
    </cfRule>
    <cfRule type="expression" dxfId="1" priority="9">
      <formula>$AA4=1</formula>
    </cfRule>
  </conditionalFormatting>
  <conditionalFormatting sqref="J4:J110">
    <cfRule type="expression" dxfId="0" priority="189">
      <formula>$V4&gt;$U4</formula>
    </cfRule>
  </conditionalFormatting>
  <dataValidations disablePrompts="1" count="5">
    <dataValidation type="list" allowBlank="1" showInputMessage="1" showErrorMessage="1" errorTitle="Input error" error="Something is wrong" promptTitle="Shotrages in the kit" prompt="Does this job has shortages? " sqref="D4:D110" xr:uid="{00000000-0002-0000-0000-000000000000}">
      <formula1>Shortages_List</formula1>
    </dataValidation>
    <dataValidation type="list" allowBlank="1" showInputMessage="1" showErrorMessage="1" sqref="S4:S110" xr:uid="{00000000-0002-0000-0000-000001000000}">
      <formula1 xml:space="preserve"> OutupMonth_List</formula1>
    </dataValidation>
    <dataValidation type="list" allowBlank="1" showInputMessage="1" showErrorMessage="1" errorTitle="Incorrect input" sqref="G4:G110" xr:uid="{00000000-0002-0000-0000-000002000000}">
      <formula1>Progress_List</formula1>
    </dataValidation>
    <dataValidation type="list" allowBlank="1" showInputMessage="1" showErrorMessage="1" sqref="T4:T110" xr:uid="{00000000-0002-0000-0000-000003000000}">
      <formula1 xml:space="preserve"> Years_List</formula1>
    </dataValidation>
    <dataValidation type="list" allowBlank="1" showInputMessage="1" showErrorMessage="1" sqref="I4:I110" xr:uid="{00000000-0002-0000-0000-000004000000}">
      <formula1>Operator_List</formula1>
    </dataValidation>
  </dataValidations>
  <hyperlinks>
    <hyperlink ref="P1" r:id="rId1" tooltip="Open help how to use the log" xr:uid="{00000000-0004-0000-0000-000000000000}"/>
  </hyperlinks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FirstRecord" altText="Go to first record.">
                <anchor moveWithCells="1">
                  <from>
                    <xdr:col>5</xdr:col>
                    <xdr:colOff>733425</xdr:colOff>
                    <xdr:row>1</xdr:row>
                    <xdr:rowOff>85725</xdr:rowOff>
                  </from>
                  <to>
                    <xdr:col>6</xdr:col>
                    <xdr:colOff>552450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" name="Button 15">
              <controlPr defaultSize="0" print="0" autoFill="0" autoPict="0" macro="[0]!LastRecord" altText="Go to last record.">
                <anchor moveWithCells="1">
                  <from>
                    <xdr:col>6</xdr:col>
                    <xdr:colOff>561975</xdr:colOff>
                    <xdr:row>1</xdr:row>
                    <xdr:rowOff>85725</xdr:rowOff>
                  </from>
                  <to>
                    <xdr:col>6</xdr:col>
                    <xdr:colOff>1647825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19"/>
  <sheetViews>
    <sheetView topLeftCell="A4" workbookViewId="0">
      <selection activeCell="A22" sqref="A22"/>
    </sheetView>
  </sheetViews>
  <sheetFormatPr defaultRowHeight="15" x14ac:dyDescent="0.25"/>
  <cols>
    <col min="1" max="1" width="60.7109375" customWidth="1"/>
    <col min="2" max="2" width="20.7109375" customWidth="1"/>
  </cols>
  <sheetData>
    <row r="1" spans="1:2" ht="27" thickBot="1" x14ac:dyDescent="0.45">
      <c r="A1" s="155" t="s">
        <v>49</v>
      </c>
      <c r="B1" s="156"/>
    </row>
    <row r="2" spans="1:2" ht="30" customHeight="1" thickTop="1" x14ac:dyDescent="0.25">
      <c r="A2" s="161" t="s">
        <v>297</v>
      </c>
      <c r="B2" s="162"/>
    </row>
    <row r="3" spans="1:2" ht="30" customHeight="1" x14ac:dyDescent="0.25">
      <c r="A3" s="163" t="s">
        <v>338</v>
      </c>
      <c r="B3" s="164"/>
    </row>
    <row r="4" spans="1:2" ht="30" customHeight="1" x14ac:dyDescent="0.25">
      <c r="A4" s="153" t="s">
        <v>294</v>
      </c>
      <c r="B4" s="154"/>
    </row>
    <row r="5" spans="1:2" x14ac:dyDescent="0.25">
      <c r="A5" s="121" t="s">
        <v>296</v>
      </c>
      <c r="B5" s="122" t="s">
        <v>3</v>
      </c>
    </row>
    <row r="6" spans="1:2" x14ac:dyDescent="0.25">
      <c r="A6" s="5"/>
      <c r="B6" s="120" t="s">
        <v>2</v>
      </c>
    </row>
    <row r="7" spans="1:2" x14ac:dyDescent="0.25">
      <c r="A7" s="5"/>
      <c r="B7" s="120" t="s">
        <v>217</v>
      </c>
    </row>
    <row r="8" spans="1:2" x14ac:dyDescent="0.25">
      <c r="A8" s="5"/>
      <c r="B8" s="120" t="s">
        <v>75</v>
      </c>
    </row>
    <row r="9" spans="1:2" x14ac:dyDescent="0.25">
      <c r="A9" s="123"/>
      <c r="B9" s="124" t="s">
        <v>208</v>
      </c>
    </row>
    <row r="10" spans="1:2" x14ac:dyDescent="0.25">
      <c r="A10" s="127" t="s">
        <v>291</v>
      </c>
      <c r="B10" s="128" t="s">
        <v>31</v>
      </c>
    </row>
    <row r="11" spans="1:2" x14ac:dyDescent="0.25">
      <c r="A11" s="129"/>
      <c r="B11" s="138" t="s">
        <v>340</v>
      </c>
    </row>
    <row r="12" spans="1:2" x14ac:dyDescent="0.25">
      <c r="A12" s="125"/>
      <c r="B12" s="126" t="s">
        <v>205</v>
      </c>
    </row>
    <row r="13" spans="1:2" ht="75" customHeight="1" x14ac:dyDescent="0.25">
      <c r="A13" s="163" t="s">
        <v>341</v>
      </c>
      <c r="B13" s="164"/>
    </row>
    <row r="14" spans="1:2" x14ac:dyDescent="0.25">
      <c r="A14" s="149" t="s">
        <v>342</v>
      </c>
      <c r="B14" s="150"/>
    </row>
    <row r="15" spans="1:2" x14ac:dyDescent="0.25">
      <c r="A15" s="165" t="s">
        <v>292</v>
      </c>
      <c r="B15" s="166"/>
    </row>
    <row r="16" spans="1:2" ht="45" customHeight="1" x14ac:dyDescent="0.25">
      <c r="A16" s="157" t="s">
        <v>339</v>
      </c>
      <c r="B16" s="158"/>
    </row>
    <row r="17" spans="1:2" ht="30" customHeight="1" x14ac:dyDescent="0.25">
      <c r="A17" s="159" t="s">
        <v>293</v>
      </c>
      <c r="B17" s="160"/>
    </row>
    <row r="18" spans="1:2" x14ac:dyDescent="0.25">
      <c r="A18" s="149" t="s">
        <v>343</v>
      </c>
      <c r="B18" s="150"/>
    </row>
    <row r="19" spans="1:2" ht="15.75" thickBot="1" x14ac:dyDescent="0.3">
      <c r="A19" s="151" t="s">
        <v>295</v>
      </c>
      <c r="B19" s="152"/>
    </row>
  </sheetData>
  <mergeCells count="11">
    <mergeCell ref="A18:B18"/>
    <mergeCell ref="A19:B19"/>
    <mergeCell ref="A4:B4"/>
    <mergeCell ref="A1:B1"/>
    <mergeCell ref="A16:B16"/>
    <mergeCell ref="A17:B17"/>
    <mergeCell ref="A2:B2"/>
    <mergeCell ref="A3:B3"/>
    <mergeCell ref="A14:B14"/>
    <mergeCell ref="A13:B13"/>
    <mergeCell ref="A15:B1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25"/>
  <sheetViews>
    <sheetView workbookViewId="0">
      <selection activeCell="C24" sqref="C24"/>
    </sheetView>
  </sheetViews>
  <sheetFormatPr defaultRowHeight="15" x14ac:dyDescent="0.25"/>
  <cols>
    <col min="1" max="1" width="14.140625" bestFit="1" customWidth="1"/>
    <col min="2" max="2" width="35.42578125" bestFit="1" customWidth="1"/>
    <col min="3" max="3" width="70.42578125" customWidth="1"/>
    <col min="4" max="4" width="35.85546875" bestFit="1" customWidth="1"/>
    <col min="5" max="5" width="11.140625" bestFit="1" customWidth="1"/>
  </cols>
  <sheetData>
    <row r="1" spans="1:4" ht="26.25" x14ac:dyDescent="0.4">
      <c r="A1" s="168" t="s">
        <v>285</v>
      </c>
      <c r="B1" s="169"/>
      <c r="C1" s="169"/>
      <c r="D1" s="170"/>
    </row>
    <row r="2" spans="1:4" ht="19.5" thickBot="1" x14ac:dyDescent="0.35">
      <c r="A2" s="111" t="s">
        <v>289</v>
      </c>
      <c r="B2" s="112" t="s">
        <v>61</v>
      </c>
      <c r="C2" s="113" t="s">
        <v>51</v>
      </c>
      <c r="D2" s="114" t="s">
        <v>257</v>
      </c>
    </row>
    <row r="3" spans="1:4" ht="15.75" thickTop="1" x14ac:dyDescent="0.25">
      <c r="A3" s="108" t="s">
        <v>0</v>
      </c>
      <c r="B3" s="109" t="s">
        <v>50</v>
      </c>
      <c r="C3" s="109"/>
      <c r="D3" s="110" t="s">
        <v>274</v>
      </c>
    </row>
    <row r="4" spans="1:4" x14ac:dyDescent="0.25">
      <c r="A4" s="28" t="s">
        <v>9</v>
      </c>
      <c r="B4" s="22" t="s">
        <v>259</v>
      </c>
      <c r="C4" s="100"/>
      <c r="D4" s="24" t="s">
        <v>274</v>
      </c>
    </row>
    <row r="5" spans="1:4" x14ac:dyDescent="0.25">
      <c r="A5" s="25" t="s">
        <v>1</v>
      </c>
      <c r="B5" s="105" t="s">
        <v>52</v>
      </c>
      <c r="C5" s="105"/>
      <c r="D5" s="106" t="s">
        <v>274</v>
      </c>
    </row>
    <row r="6" spans="1:4" x14ac:dyDescent="0.25">
      <c r="A6" s="28" t="s">
        <v>3</v>
      </c>
      <c r="B6" s="22" t="s">
        <v>260</v>
      </c>
      <c r="C6" s="100" t="s">
        <v>58</v>
      </c>
      <c r="D6" s="24" t="s">
        <v>274</v>
      </c>
    </row>
    <row r="7" spans="1:4" x14ac:dyDescent="0.25">
      <c r="A7" s="28" t="s">
        <v>59</v>
      </c>
      <c r="B7" s="22" t="s">
        <v>261</v>
      </c>
      <c r="C7" s="100" t="s">
        <v>262</v>
      </c>
      <c r="D7" s="24" t="s">
        <v>274</v>
      </c>
    </row>
    <row r="8" spans="1:4" x14ac:dyDescent="0.25">
      <c r="A8" s="28" t="s">
        <v>165</v>
      </c>
      <c r="B8" s="22" t="s">
        <v>263</v>
      </c>
      <c r="C8" s="100" t="s">
        <v>264</v>
      </c>
      <c r="D8" s="24" t="s">
        <v>274</v>
      </c>
    </row>
    <row r="9" spans="1:4" x14ac:dyDescent="0.25">
      <c r="A9" s="23" t="s">
        <v>2</v>
      </c>
      <c r="B9" s="22" t="s">
        <v>53</v>
      </c>
      <c r="C9" s="100" t="s">
        <v>54</v>
      </c>
      <c r="D9" s="24" t="s">
        <v>274</v>
      </c>
    </row>
    <row r="10" spans="1:4" x14ac:dyDescent="0.25">
      <c r="A10" s="23" t="s">
        <v>31</v>
      </c>
      <c r="B10" s="22" t="s">
        <v>55</v>
      </c>
      <c r="C10" s="115" t="s">
        <v>288</v>
      </c>
      <c r="D10" s="24" t="s">
        <v>274</v>
      </c>
    </row>
    <row r="11" spans="1:4" x14ac:dyDescent="0.25">
      <c r="A11" s="23" t="s">
        <v>217</v>
      </c>
      <c r="B11" s="22" t="s">
        <v>265</v>
      </c>
      <c r="C11" s="100" t="s">
        <v>266</v>
      </c>
      <c r="D11" s="24" t="s">
        <v>274</v>
      </c>
    </row>
    <row r="12" spans="1:4" x14ac:dyDescent="0.25">
      <c r="A12" s="25" t="s">
        <v>27</v>
      </c>
      <c r="B12" s="105" t="s">
        <v>56</v>
      </c>
      <c r="C12" s="107" t="s">
        <v>267</v>
      </c>
      <c r="D12" s="106" t="s">
        <v>274</v>
      </c>
    </row>
    <row r="13" spans="1:4" x14ac:dyDescent="0.25">
      <c r="A13" s="25" t="s">
        <v>10</v>
      </c>
      <c r="B13" s="105" t="s">
        <v>57</v>
      </c>
      <c r="C13" s="107" t="s">
        <v>268</v>
      </c>
      <c r="D13" s="106" t="s">
        <v>274</v>
      </c>
    </row>
    <row r="14" spans="1:4" x14ac:dyDescent="0.25">
      <c r="A14" s="23" t="s">
        <v>74</v>
      </c>
      <c r="B14" s="22" t="s">
        <v>269</v>
      </c>
      <c r="C14" s="100" t="s">
        <v>270</v>
      </c>
      <c r="D14" s="102" t="s">
        <v>274</v>
      </c>
    </row>
    <row r="15" spans="1:4" x14ac:dyDescent="0.25">
      <c r="A15" s="103" t="s">
        <v>271</v>
      </c>
      <c r="B15" s="89" t="s">
        <v>272</v>
      </c>
      <c r="C15" s="101" t="s">
        <v>273</v>
      </c>
      <c r="D15" s="102" t="s">
        <v>290</v>
      </c>
    </row>
    <row r="16" spans="1:4" x14ac:dyDescent="0.25">
      <c r="A16" s="103" t="s">
        <v>6</v>
      </c>
      <c r="B16" s="89"/>
      <c r="C16" s="101" t="s">
        <v>275</v>
      </c>
      <c r="D16" s="102" t="s">
        <v>274</v>
      </c>
    </row>
    <row r="17" spans="1:4" x14ac:dyDescent="0.25">
      <c r="A17" s="103" t="s">
        <v>334</v>
      </c>
      <c r="B17" s="89" t="s">
        <v>284</v>
      </c>
      <c r="C17" s="104" t="s">
        <v>287</v>
      </c>
      <c r="D17" s="102" t="s">
        <v>274</v>
      </c>
    </row>
    <row r="18" spans="1:4" ht="30" x14ac:dyDescent="0.25">
      <c r="A18" s="103" t="s">
        <v>205</v>
      </c>
      <c r="B18" s="89" t="s">
        <v>283</v>
      </c>
      <c r="C18" s="104" t="s">
        <v>286</v>
      </c>
      <c r="D18" s="102" t="s">
        <v>274</v>
      </c>
    </row>
    <row r="19" spans="1:4" ht="30" x14ac:dyDescent="0.25">
      <c r="A19" s="103" t="s">
        <v>276</v>
      </c>
      <c r="B19" s="89" t="s">
        <v>280</v>
      </c>
      <c r="C19" s="135" t="s">
        <v>333</v>
      </c>
      <c r="D19" s="102" t="s">
        <v>282</v>
      </c>
    </row>
    <row r="20" spans="1:4" ht="30" x14ac:dyDescent="0.25">
      <c r="A20" s="103" t="s">
        <v>204</v>
      </c>
      <c r="B20" s="89" t="s">
        <v>281</v>
      </c>
      <c r="C20" s="135" t="s">
        <v>333</v>
      </c>
      <c r="D20" s="102" t="s">
        <v>282</v>
      </c>
    </row>
    <row r="21" spans="1:4" x14ac:dyDescent="0.25">
      <c r="A21" s="103" t="s">
        <v>75</v>
      </c>
      <c r="B21" s="89" t="s">
        <v>277</v>
      </c>
      <c r="C21" s="116" t="s">
        <v>279</v>
      </c>
      <c r="D21" s="102" t="s">
        <v>282</v>
      </c>
    </row>
    <row r="22" spans="1:4" ht="15.75" thickBot="1" x14ac:dyDescent="0.3">
      <c r="A22" s="31" t="s">
        <v>208</v>
      </c>
      <c r="B22" s="26" t="s">
        <v>278</v>
      </c>
      <c r="C22" s="117" t="s">
        <v>279</v>
      </c>
      <c r="D22" s="27" t="s">
        <v>282</v>
      </c>
    </row>
    <row r="23" spans="1:4" x14ac:dyDescent="0.25">
      <c r="A23" s="29"/>
      <c r="B23" s="12"/>
      <c r="C23" s="12"/>
      <c r="D23" s="12"/>
    </row>
    <row r="24" spans="1:4" x14ac:dyDescent="0.25">
      <c r="A24" s="167" t="s">
        <v>60</v>
      </c>
      <c r="B24" s="167"/>
      <c r="C24" s="99"/>
    </row>
    <row r="25" spans="1:4" x14ac:dyDescent="0.25">
      <c r="A25" s="30"/>
      <c r="B25" s="30"/>
      <c r="C25" s="99"/>
    </row>
  </sheetData>
  <mergeCells count="2">
    <mergeCell ref="A24:B24"/>
    <mergeCell ref="A1:D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N24"/>
  <sheetViews>
    <sheetView workbookViewId="0">
      <selection activeCell="N17" sqref="N17"/>
    </sheetView>
  </sheetViews>
  <sheetFormatPr defaultRowHeight="15" x14ac:dyDescent="0.25"/>
  <cols>
    <col min="1" max="1" width="23.140625" bestFit="1" customWidth="1"/>
    <col min="2" max="2" width="25.28515625" bestFit="1" customWidth="1"/>
    <col min="3" max="3" width="15.42578125" bestFit="1" customWidth="1"/>
    <col min="6" max="6" width="11.140625" bestFit="1" customWidth="1"/>
    <col min="7" max="7" width="7.140625" bestFit="1" customWidth="1"/>
    <col min="8" max="8" width="11.140625" customWidth="1"/>
    <col min="9" max="9" width="7.140625" customWidth="1"/>
    <col min="10" max="10" width="11.85546875" customWidth="1"/>
    <col min="13" max="13" width="20.7109375" customWidth="1"/>
    <col min="14" max="14" width="18.7109375" bestFit="1" customWidth="1"/>
  </cols>
  <sheetData>
    <row r="1" spans="1:14" ht="15.75" x14ac:dyDescent="0.25">
      <c r="A1" s="9" t="s">
        <v>2</v>
      </c>
      <c r="B1" s="10" t="s">
        <v>33</v>
      </c>
      <c r="C1" s="15" t="s">
        <v>171</v>
      </c>
      <c r="D1" s="15" t="s">
        <v>34</v>
      </c>
      <c r="E1" s="15" t="s">
        <v>34</v>
      </c>
      <c r="F1" s="11" t="s">
        <v>32</v>
      </c>
      <c r="G1" s="12"/>
      <c r="H1" s="29" t="s">
        <v>217</v>
      </c>
      <c r="I1" s="12"/>
      <c r="J1" s="3" t="s">
        <v>3</v>
      </c>
      <c r="K1" s="12"/>
      <c r="L1" s="12"/>
      <c r="M1" s="3" t="s">
        <v>100</v>
      </c>
      <c r="N1" s="3" t="s">
        <v>207</v>
      </c>
    </row>
    <row r="2" spans="1:14" x14ac:dyDescent="0.25">
      <c r="A2" s="5" t="s">
        <v>176</v>
      </c>
      <c r="B2" s="6">
        <v>0</v>
      </c>
      <c r="C2" s="13">
        <v>0</v>
      </c>
      <c r="D2" s="6">
        <v>0</v>
      </c>
      <c r="E2" s="13">
        <v>0</v>
      </c>
      <c r="F2" s="80">
        <f>E2</f>
        <v>0</v>
      </c>
      <c r="G2" s="12"/>
      <c r="H2" s="12"/>
      <c r="I2" s="12"/>
      <c r="J2" s="12"/>
      <c r="K2" s="12"/>
      <c r="L2" s="12"/>
      <c r="M2" s="37" t="s">
        <v>176</v>
      </c>
      <c r="N2" s="37"/>
    </row>
    <row r="3" spans="1:14" x14ac:dyDescent="0.25">
      <c r="A3" s="5" t="s">
        <v>18</v>
      </c>
      <c r="B3" s="6">
        <v>0.25</v>
      </c>
      <c r="C3" s="13">
        <f t="shared" ref="C3:C23" si="0">B3/B$24</f>
        <v>1.5460729746444033E-3</v>
      </c>
      <c r="D3" s="6">
        <v>0.25</v>
      </c>
      <c r="E3" s="13">
        <f t="shared" ref="E3:E24" si="1">D3/D$24</f>
        <v>1.8726591760299626E-2</v>
      </c>
      <c r="F3" s="80">
        <f>E2+F2</f>
        <v>0</v>
      </c>
      <c r="G3" s="38"/>
      <c r="H3" s="19" t="s">
        <v>218</v>
      </c>
      <c r="I3" s="17"/>
      <c r="J3" s="140" t="s">
        <v>4</v>
      </c>
      <c r="M3" s="82" t="s">
        <v>90</v>
      </c>
      <c r="N3" s="53">
        <v>1</v>
      </c>
    </row>
    <row r="4" spans="1:14" x14ac:dyDescent="0.25">
      <c r="A4" s="5" t="s">
        <v>19</v>
      </c>
      <c r="B4" s="6">
        <v>1.5</v>
      </c>
      <c r="C4" s="13">
        <f t="shared" si="0"/>
        <v>9.2764378478664197E-3</v>
      </c>
      <c r="D4" s="6">
        <v>1.5</v>
      </c>
      <c r="E4" s="13">
        <f t="shared" si="1"/>
        <v>0.11235955056179775</v>
      </c>
      <c r="F4" s="80">
        <f>E3+F3</f>
        <v>1.8726591760299626E-2</v>
      </c>
      <c r="G4" s="19"/>
      <c r="H4" s="19" t="s">
        <v>219</v>
      </c>
      <c r="I4" s="13"/>
      <c r="J4" s="12" t="s">
        <v>5</v>
      </c>
      <c r="M4" s="83" t="s">
        <v>91</v>
      </c>
      <c r="N4" s="54">
        <v>2</v>
      </c>
    </row>
    <row r="5" spans="1:14" x14ac:dyDescent="0.25">
      <c r="A5" s="5" t="s">
        <v>20</v>
      </c>
      <c r="B5" s="6">
        <v>0</v>
      </c>
      <c r="C5" s="13">
        <f t="shared" si="0"/>
        <v>0</v>
      </c>
      <c r="D5" s="6">
        <v>0.1</v>
      </c>
      <c r="E5" s="13">
        <f t="shared" si="1"/>
        <v>7.4906367041198511E-3</v>
      </c>
      <c r="F5" s="80">
        <f>E4+F4</f>
        <v>0.13108614232209737</v>
      </c>
      <c r="G5" s="19"/>
      <c r="H5" s="38" t="s">
        <v>238</v>
      </c>
      <c r="I5" s="13"/>
      <c r="M5" s="82" t="s">
        <v>92</v>
      </c>
      <c r="N5" s="53">
        <v>3</v>
      </c>
    </row>
    <row r="6" spans="1:14" x14ac:dyDescent="0.25">
      <c r="A6" s="5" t="s">
        <v>21</v>
      </c>
      <c r="B6" s="6">
        <v>2</v>
      </c>
      <c r="C6" s="13">
        <f t="shared" si="0"/>
        <v>1.2368583797155226E-2</v>
      </c>
      <c r="D6" s="6">
        <v>2</v>
      </c>
      <c r="E6" s="13">
        <f t="shared" si="1"/>
        <v>0.14981273408239701</v>
      </c>
      <c r="F6" s="80">
        <f t="shared" ref="F6:F21" si="2">E5+F5</f>
        <v>0.13857677902621721</v>
      </c>
      <c r="G6" s="19"/>
      <c r="H6" s="19"/>
      <c r="I6" s="13"/>
      <c r="M6" s="83" t="s">
        <v>93</v>
      </c>
      <c r="N6" s="54">
        <v>4</v>
      </c>
    </row>
    <row r="7" spans="1:14" x14ac:dyDescent="0.25">
      <c r="A7" s="5" t="s">
        <v>22</v>
      </c>
      <c r="B7" s="6">
        <v>48</v>
      </c>
      <c r="C7" s="13">
        <f t="shared" si="0"/>
        <v>0.29684601113172543</v>
      </c>
      <c r="D7" s="6">
        <v>0.1</v>
      </c>
      <c r="E7" s="13">
        <f t="shared" si="1"/>
        <v>7.4906367041198511E-3</v>
      </c>
      <c r="F7" s="80">
        <f t="shared" si="2"/>
        <v>0.28838951310861421</v>
      </c>
      <c r="G7" s="19"/>
      <c r="H7" s="19"/>
      <c r="I7" s="13"/>
      <c r="J7" s="12" t="s">
        <v>208</v>
      </c>
      <c r="M7" s="82" t="s">
        <v>94</v>
      </c>
      <c r="N7" s="53">
        <v>5</v>
      </c>
    </row>
    <row r="8" spans="1:14" x14ac:dyDescent="0.25">
      <c r="A8" s="5" t="s">
        <v>23</v>
      </c>
      <c r="B8" s="6">
        <v>0.45</v>
      </c>
      <c r="C8" s="13">
        <f t="shared" si="0"/>
        <v>2.7829313543599262E-3</v>
      </c>
      <c r="D8" s="6">
        <v>0.75</v>
      </c>
      <c r="E8" s="13">
        <f t="shared" si="1"/>
        <v>5.6179775280898875E-2</v>
      </c>
      <c r="F8" s="80">
        <f t="shared" si="2"/>
        <v>0.29588014981273408</v>
      </c>
      <c r="G8" s="19"/>
      <c r="H8" s="19"/>
      <c r="I8" s="13"/>
      <c r="J8" s="12"/>
      <c r="M8" s="83" t="s">
        <v>95</v>
      </c>
      <c r="N8" s="54">
        <v>6</v>
      </c>
    </row>
    <row r="9" spans="1:14" x14ac:dyDescent="0.25">
      <c r="A9" s="5" t="s">
        <v>24</v>
      </c>
      <c r="B9" s="6">
        <v>4</v>
      </c>
      <c r="C9" s="13">
        <f t="shared" si="0"/>
        <v>2.4737167594310452E-2</v>
      </c>
      <c r="D9" s="6">
        <v>0.2</v>
      </c>
      <c r="E9" s="13">
        <f t="shared" si="1"/>
        <v>1.4981273408239702E-2</v>
      </c>
      <c r="F9" s="80">
        <f t="shared" si="2"/>
        <v>0.35205992509363293</v>
      </c>
      <c r="G9" s="19"/>
      <c r="H9" s="19"/>
      <c r="I9" s="13"/>
      <c r="J9" s="140">
        <v>2017</v>
      </c>
      <c r="M9" s="82" t="s">
        <v>96</v>
      </c>
      <c r="N9" s="53">
        <v>7</v>
      </c>
    </row>
    <row r="10" spans="1:14" x14ac:dyDescent="0.25">
      <c r="A10" s="5" t="s">
        <v>25</v>
      </c>
      <c r="B10" s="6">
        <v>1</v>
      </c>
      <c r="C10" s="13">
        <f t="shared" si="0"/>
        <v>6.1842918985776131E-3</v>
      </c>
      <c r="D10" s="6">
        <v>1</v>
      </c>
      <c r="E10" s="13">
        <f t="shared" si="1"/>
        <v>7.4906367041198504E-2</v>
      </c>
      <c r="F10" s="80">
        <f t="shared" si="2"/>
        <v>0.36704119850187261</v>
      </c>
      <c r="G10" s="19"/>
      <c r="H10" s="19"/>
      <c r="I10" s="13"/>
      <c r="J10" s="140">
        <v>2018</v>
      </c>
      <c r="M10" s="83" t="s">
        <v>97</v>
      </c>
      <c r="N10" s="54">
        <v>8</v>
      </c>
    </row>
    <row r="11" spans="1:14" x14ac:dyDescent="0.25">
      <c r="A11" s="5" t="s">
        <v>26</v>
      </c>
      <c r="B11" s="6">
        <v>2</v>
      </c>
      <c r="C11" s="13">
        <f t="shared" si="0"/>
        <v>1.2368583797155226E-2</v>
      </c>
      <c r="D11" s="6">
        <v>0.1</v>
      </c>
      <c r="E11" s="13">
        <f t="shared" si="1"/>
        <v>7.4906367041198511E-3</v>
      </c>
      <c r="F11" s="80">
        <f t="shared" si="2"/>
        <v>0.44194756554307113</v>
      </c>
      <c r="G11" s="19"/>
      <c r="H11" s="19"/>
      <c r="I11" s="13"/>
      <c r="J11" s="140">
        <v>2019</v>
      </c>
      <c r="M11" s="82" t="s">
        <v>98</v>
      </c>
      <c r="N11" s="53">
        <v>9</v>
      </c>
    </row>
    <row r="12" spans="1:14" x14ac:dyDescent="0.25">
      <c r="A12" s="5" t="s">
        <v>14</v>
      </c>
      <c r="B12" s="6">
        <v>1</v>
      </c>
      <c r="C12" s="13">
        <f t="shared" si="0"/>
        <v>6.1842918985776131E-3</v>
      </c>
      <c r="D12" s="6">
        <v>1</v>
      </c>
      <c r="E12" s="13">
        <f t="shared" si="1"/>
        <v>7.4906367041198504E-2</v>
      </c>
      <c r="F12" s="80">
        <f t="shared" si="2"/>
        <v>0.449438202247191</v>
      </c>
      <c r="G12" s="19"/>
      <c r="H12" s="19"/>
      <c r="I12" s="13"/>
      <c r="J12" s="140">
        <v>2020</v>
      </c>
      <c r="M12" s="83" t="s">
        <v>76</v>
      </c>
      <c r="N12" s="54">
        <v>10</v>
      </c>
    </row>
    <row r="13" spans="1:14" x14ac:dyDescent="0.25">
      <c r="A13" s="5" t="s">
        <v>15</v>
      </c>
      <c r="B13" s="6">
        <v>0</v>
      </c>
      <c r="C13" s="13">
        <f t="shared" si="0"/>
        <v>0</v>
      </c>
      <c r="D13" s="6">
        <v>0.1</v>
      </c>
      <c r="E13" s="13">
        <f t="shared" si="1"/>
        <v>7.4906367041198511E-3</v>
      </c>
      <c r="F13" s="80">
        <f t="shared" si="2"/>
        <v>0.52434456928838946</v>
      </c>
      <c r="G13" s="19"/>
      <c r="H13" s="19"/>
      <c r="I13" s="13"/>
      <c r="M13" s="82" t="s">
        <v>88</v>
      </c>
      <c r="N13" s="53">
        <v>11</v>
      </c>
    </row>
    <row r="14" spans="1:14" x14ac:dyDescent="0.25">
      <c r="A14" s="5" t="s">
        <v>16</v>
      </c>
      <c r="B14" s="6">
        <v>0</v>
      </c>
      <c r="C14" s="13">
        <f t="shared" si="0"/>
        <v>0</v>
      </c>
      <c r="D14" s="6">
        <v>0.2</v>
      </c>
      <c r="E14" s="13">
        <f t="shared" si="1"/>
        <v>1.4981273408239702E-2</v>
      </c>
      <c r="F14" s="80">
        <f t="shared" si="2"/>
        <v>0.53183520599250933</v>
      </c>
      <c r="G14" s="19"/>
      <c r="H14" s="19"/>
      <c r="I14" s="13"/>
      <c r="M14" s="83" t="s">
        <v>99</v>
      </c>
      <c r="N14" s="54">
        <v>12</v>
      </c>
    </row>
    <row r="15" spans="1:14" x14ac:dyDescent="0.25">
      <c r="A15" s="5" t="s">
        <v>17</v>
      </c>
      <c r="B15" s="6">
        <v>96</v>
      </c>
      <c r="C15" s="13">
        <f t="shared" si="0"/>
        <v>0.59369202226345086</v>
      </c>
      <c r="D15" s="6">
        <v>0.2</v>
      </c>
      <c r="E15" s="13">
        <f t="shared" si="1"/>
        <v>1.4981273408239702E-2</v>
      </c>
      <c r="F15" s="80">
        <f t="shared" si="2"/>
        <v>0.54681647940074907</v>
      </c>
      <c r="G15" s="19"/>
      <c r="H15" s="19"/>
      <c r="I15" s="13"/>
    </row>
    <row r="16" spans="1:14" x14ac:dyDescent="0.25">
      <c r="A16" s="5" t="s">
        <v>36</v>
      </c>
      <c r="B16" s="6">
        <v>2</v>
      </c>
      <c r="C16" s="13">
        <f t="shared" si="0"/>
        <v>1.2368583797155226E-2</v>
      </c>
      <c r="D16" s="6">
        <v>2</v>
      </c>
      <c r="E16" s="13">
        <f t="shared" si="1"/>
        <v>0.14981273408239701</v>
      </c>
      <c r="F16" s="80">
        <f t="shared" si="2"/>
        <v>0.5617977528089888</v>
      </c>
      <c r="G16" s="19"/>
      <c r="H16" s="19"/>
      <c r="I16" s="13"/>
      <c r="M16" s="54" t="s">
        <v>345</v>
      </c>
      <c r="N16" s="54"/>
    </row>
    <row r="17" spans="1:14" x14ac:dyDescent="0.25">
      <c r="A17" s="5" t="s">
        <v>37</v>
      </c>
      <c r="B17" s="6">
        <v>0</v>
      </c>
      <c r="C17" s="13">
        <f t="shared" si="0"/>
        <v>0</v>
      </c>
      <c r="D17" s="6">
        <v>0.1</v>
      </c>
      <c r="E17" s="13">
        <f t="shared" si="1"/>
        <v>7.4906367041198511E-3</v>
      </c>
      <c r="F17" s="80">
        <f t="shared" si="2"/>
        <v>0.71161048689138584</v>
      </c>
      <c r="G17" s="19"/>
      <c r="H17" s="19"/>
      <c r="I17" s="13"/>
      <c r="M17" s="139" t="s">
        <v>17</v>
      </c>
      <c r="N17" s="139">
        <f>IFERROR(VALUE(LEFT(M17,2)),0)</f>
        <v>13</v>
      </c>
    </row>
    <row r="18" spans="1:14" x14ac:dyDescent="0.25">
      <c r="A18" s="5" t="s">
        <v>39</v>
      </c>
      <c r="B18" s="6">
        <v>2</v>
      </c>
      <c r="C18" s="13">
        <f t="shared" si="0"/>
        <v>1.2368583797155226E-2</v>
      </c>
      <c r="D18" s="6">
        <v>2</v>
      </c>
      <c r="E18" s="13">
        <f t="shared" si="1"/>
        <v>0.14981273408239701</v>
      </c>
      <c r="F18" s="80">
        <f t="shared" si="2"/>
        <v>0.71910112359550571</v>
      </c>
      <c r="G18" s="19"/>
      <c r="H18" s="19"/>
      <c r="I18" s="13"/>
    </row>
    <row r="19" spans="1:14" x14ac:dyDescent="0.25">
      <c r="A19" s="5" t="s">
        <v>40</v>
      </c>
      <c r="B19" s="6">
        <v>0</v>
      </c>
      <c r="C19" s="13">
        <f t="shared" si="0"/>
        <v>0</v>
      </c>
      <c r="D19" s="6">
        <v>0.25</v>
      </c>
      <c r="E19" s="13">
        <f t="shared" si="1"/>
        <v>1.8726591760299626E-2</v>
      </c>
      <c r="F19" s="80">
        <f t="shared" si="2"/>
        <v>0.86891385767790275</v>
      </c>
      <c r="G19" s="19"/>
      <c r="H19" s="19"/>
      <c r="I19" s="13"/>
    </row>
    <row r="20" spans="1:14" x14ac:dyDescent="0.25">
      <c r="A20" s="39" t="s">
        <v>162</v>
      </c>
      <c r="B20" s="6">
        <v>1</v>
      </c>
      <c r="C20" s="13">
        <f t="shared" si="0"/>
        <v>6.1842918985776131E-3</v>
      </c>
      <c r="D20" s="6">
        <v>1</v>
      </c>
      <c r="E20" s="13">
        <f t="shared" si="1"/>
        <v>7.4906367041198504E-2</v>
      </c>
      <c r="F20" s="80">
        <f t="shared" si="2"/>
        <v>0.88764044943820242</v>
      </c>
      <c r="G20" s="19"/>
      <c r="H20" s="19"/>
      <c r="I20" s="13"/>
    </row>
    <row r="21" spans="1:14" x14ac:dyDescent="0.25">
      <c r="A21" s="39" t="s">
        <v>41</v>
      </c>
      <c r="B21" s="6">
        <v>0.5</v>
      </c>
      <c r="C21" s="13">
        <f t="shared" si="0"/>
        <v>3.0921459492888066E-3</v>
      </c>
      <c r="D21" s="6">
        <v>0.5</v>
      </c>
      <c r="E21" s="13">
        <f t="shared" si="1"/>
        <v>3.7453183520599252E-2</v>
      </c>
      <c r="F21" s="80">
        <f t="shared" si="2"/>
        <v>0.96254681647940088</v>
      </c>
      <c r="G21" s="19"/>
      <c r="H21" s="19"/>
      <c r="I21" s="13"/>
    </row>
    <row r="22" spans="1:14" x14ac:dyDescent="0.25">
      <c r="A22" s="39" t="s">
        <v>43</v>
      </c>
      <c r="B22" s="6">
        <v>0</v>
      </c>
      <c r="C22" s="13">
        <f t="shared" si="0"/>
        <v>0</v>
      </c>
      <c r="D22" s="6">
        <v>0</v>
      </c>
      <c r="E22" s="13">
        <f t="shared" si="1"/>
        <v>0</v>
      </c>
      <c r="F22" s="80">
        <f>E21+F21</f>
        <v>1.0000000000000002</v>
      </c>
      <c r="G22" s="19"/>
      <c r="H22" s="19"/>
      <c r="I22" s="13"/>
    </row>
    <row r="23" spans="1:14" x14ac:dyDescent="0.25">
      <c r="A23" s="40" t="s">
        <v>42</v>
      </c>
      <c r="B23" s="4">
        <v>0</v>
      </c>
      <c r="C23" s="14">
        <f t="shared" si="0"/>
        <v>0</v>
      </c>
      <c r="D23" s="4">
        <v>0</v>
      </c>
      <c r="E23" s="14">
        <f t="shared" si="1"/>
        <v>0</v>
      </c>
      <c r="F23" s="81">
        <f>E21+F21</f>
        <v>1.0000000000000002</v>
      </c>
      <c r="G23" s="19"/>
      <c r="H23" s="19"/>
      <c r="I23" s="13"/>
    </row>
    <row r="24" spans="1:14" ht="15.75" thickBot="1" x14ac:dyDescent="0.3">
      <c r="A24" s="7"/>
      <c r="B24" s="8">
        <f>SUM(B2:B23)</f>
        <v>161.69999999999999</v>
      </c>
      <c r="C24" s="16">
        <f>SUM(C3:C23)</f>
        <v>1</v>
      </c>
      <c r="D24" s="8">
        <f>SUM(D3:D23)</f>
        <v>13.35</v>
      </c>
      <c r="E24" s="20">
        <f t="shared" si="1"/>
        <v>1</v>
      </c>
      <c r="F24" s="21"/>
      <c r="G24" s="18"/>
      <c r="H24" s="18"/>
      <c r="I24" s="13"/>
    </row>
  </sheetData>
  <dataConsolidate/>
  <dataValidations count="1">
    <dataValidation type="list" allowBlank="1" showInputMessage="1" showErrorMessage="1" sqref="M17" xr:uid="{00000000-0002-0000-0300-000000000000}">
      <formula1>Progress_List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Props1.xml><?xml version="1.0" encoding="utf-8"?>
<ds:datastoreItem xmlns:ds="http://schemas.openxmlformats.org/officeDocument/2006/customXml" ds:itemID="{0E6D87F3-9FC7-4511-8BED-0559BDA211C3}">
  <ds:schemaRefs/>
</ds:datastoreItem>
</file>

<file path=customXml/itemProps2.xml><?xml version="1.0" encoding="utf-8"?>
<ds:datastoreItem xmlns:ds="http://schemas.openxmlformats.org/officeDocument/2006/customXml" ds:itemID="{67BEDC98-49A1-4069-9555-38982AED9A11}">
  <ds:schemaRefs/>
</ds:datastoreItem>
</file>

<file path=customXml/itemProps3.xml><?xml version="1.0" encoding="utf-8"?>
<ds:datastoreItem xmlns:ds="http://schemas.openxmlformats.org/officeDocument/2006/customXml" ds:itemID="{5503D4D2-2EFC-4D8B-867C-8900150AA946}">
  <ds:schemaRefs/>
</ds:datastoreItem>
</file>

<file path=customXml/itemProps4.xml><?xml version="1.0" encoding="utf-8"?>
<ds:datastoreItem xmlns:ds="http://schemas.openxmlformats.org/officeDocument/2006/customXml" ds:itemID="{6449A336-7C73-477B-86F0-565355B9BDA5}">
  <ds:schemaRefs/>
</ds:datastoreItem>
</file>

<file path=customXml/itemProps5.xml><?xml version="1.0" encoding="utf-8"?>
<ds:datastoreItem xmlns:ds="http://schemas.openxmlformats.org/officeDocument/2006/customXml" ds:itemID="{89D1F625-62CD-4D19-80BE-0664159A5942}">
  <ds:schemaRefs/>
</ds:datastoreItem>
</file>

<file path=customXml/itemProps6.xml><?xml version="1.0" encoding="utf-8"?>
<ds:datastoreItem xmlns:ds="http://schemas.openxmlformats.org/officeDocument/2006/customXml" ds:itemID="{48C2C0D1-60C2-4987-9430-2C55CA607D4C}">
  <ds:schemaRefs/>
</ds:datastoreItem>
</file>

<file path=customXml/itemProps7.xml><?xml version="1.0" encoding="utf-8"?>
<ds:datastoreItem xmlns:ds="http://schemas.openxmlformats.org/officeDocument/2006/customXml" ds:itemID="{95B1DDA1-080A-4E63-B05C-E929EFF90FDA}">
  <ds:schemaRefs/>
</ds:datastoreItem>
</file>

<file path=customXml/itemProps8.xml><?xml version="1.0" encoding="utf-8"?>
<ds:datastoreItem xmlns:ds="http://schemas.openxmlformats.org/officeDocument/2006/customXml" ds:itemID="{AAD8179E-1A68-4722-93ED-F799D1C17563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19FA232D-A8F8-4893-9283-90B0840FCC5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Jobs</vt:lpstr>
      <vt:lpstr>How to use</vt:lpstr>
      <vt:lpstr>Columns description</vt:lpstr>
      <vt:lpstr>Lists</vt:lpstr>
      <vt:lpstr>Operator_List</vt:lpstr>
      <vt:lpstr>OutupMonth_List</vt:lpstr>
      <vt:lpstr>Progress_List</vt:lpstr>
      <vt:lpstr>ProgressCalculation_List</vt:lpstr>
      <vt:lpstr>Shortages_List</vt:lpstr>
      <vt:lpstr>Years_List</vt:lpstr>
    </vt:vector>
  </TitlesOfParts>
  <Company>Curtiss-Wright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Janda, Martin</dc:creator>
  <cp:lastModifiedBy>Martin</cp:lastModifiedBy>
  <dcterms:created xsi:type="dcterms:W3CDTF">2017-07-06T13:59:41Z</dcterms:created>
  <dcterms:modified xsi:type="dcterms:W3CDTF">2019-01-09T23:11:23Z</dcterms:modified>
</cp:coreProperties>
</file>