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F:\Version Control System\Repository\GitHub\CW\WhiteBoard_2.0\"/>
    </mc:Choice>
  </mc:AlternateContent>
  <xr:revisionPtr revIDLastSave="0" documentId="13_ncr:1_{4AA96010-C500-487B-82B6-8B9481D5DAC4}" xr6:coauthVersionLast="40" xr6:coauthVersionMax="40" xr10:uidLastSave="{00000000-0000-0000-0000-000000000000}"/>
  <bookViews>
    <workbookView xWindow="0" yWindow="0" windowWidth="28800" windowHeight="14715" tabRatio="570" xr2:uid="{00000000-000D-0000-FFFF-FFFF00000000}"/>
  </bookViews>
  <sheets>
    <sheet name="Job tracker" sheetId="1" r:id="rId1"/>
    <sheet name="How to use" sheetId="9" r:id="rId2"/>
    <sheet name="Columns description" sheetId="5" r:id="rId3"/>
    <sheet name="Lists" sheetId="2" r:id="rId4"/>
  </sheets>
  <definedNames>
    <definedName name="_xlnm._FilterDatabase" localSheetId="0" hidden="1">'Job tracker'!$A$3:$D$4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put_qry_82f6dff9-90d3-4dde-a6cb-9b0df97212aa" name="Output_qry" connection="Query - Output_qry"/>
        </x15:modelTables>
        <x15:extLst>
          <ext xmlns:x16="http://schemas.microsoft.com/office/spreadsheetml/2014/11/main" uri="{9835A34E-60A6-4A7C-AAB8-D5F71C897F49}">
            <x16:modelTimeGroupings>
              <x16:modelTimeGrouping tableName="Output_qry" columnName="Date (Plan)" columnId="Date Plan">
                <x16:calculatedTimeColumn columnName="Date (Plan) (Year)" columnId="Date (Plan) (Year)" contentType="years" isSelected="1"/>
                <x16:calculatedTimeColumn columnName="Date (Plan) (Quarter)" columnId="Date (Plan) (Quarter)" contentType="quarters" isSelected="1"/>
                <x16:calculatedTimeColumn columnName="Date (Plan) (Month Index)" columnId="Date (Plan) (Month Index)" contentType="monthsindex" isSelected="1"/>
                <x16:calculatedTimeColumn columnName="Date (Plan) (Month)" columnId="Date (Plan) (Month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N17" i="2" l="1"/>
  <c r="M2" i="1" l="1"/>
  <c r="B24" i="2" l="1"/>
  <c r="F2" i="2"/>
  <c r="H14" i="1" l="1"/>
  <c r="H15" i="1"/>
  <c r="F3" i="2"/>
  <c r="H32" i="1" l="1"/>
  <c r="H31" i="1"/>
  <c r="H22" i="1"/>
  <c r="H21" i="1"/>
  <c r="D24" i="2" l="1"/>
  <c r="E22" i="2" s="1"/>
  <c r="E10" i="2" l="1"/>
  <c r="E19" i="2"/>
  <c r="E18" i="2"/>
  <c r="E20" i="2"/>
  <c r="E14" i="2"/>
  <c r="E3" i="2"/>
  <c r="F4" i="2" s="1"/>
  <c r="E17" i="2"/>
  <c r="E13" i="2"/>
  <c r="E9" i="2"/>
  <c r="E5" i="2"/>
  <c r="E23" i="2"/>
  <c r="E16" i="2"/>
  <c r="E12" i="2"/>
  <c r="E8" i="2"/>
  <c r="E4" i="2"/>
  <c r="E21" i="2"/>
  <c r="E15" i="2"/>
  <c r="E11" i="2"/>
  <c r="E7" i="2"/>
  <c r="E24" i="2"/>
  <c r="E6" i="2"/>
  <c r="C22" i="2"/>
  <c r="C21" i="2" l="1"/>
  <c r="C18" i="2"/>
  <c r="C19" i="2"/>
  <c r="F5" i="2"/>
  <c r="C4" i="2"/>
  <c r="C12" i="2"/>
  <c r="C23" i="2"/>
  <c r="C5" i="2"/>
  <c r="C13" i="2"/>
  <c r="C8" i="2"/>
  <c r="C16" i="2"/>
  <c r="C9" i="2"/>
  <c r="C17" i="2"/>
  <c r="C6" i="2"/>
  <c r="C10" i="2"/>
  <c r="C14" i="2"/>
  <c r="C20" i="2"/>
  <c r="C3" i="2"/>
  <c r="C7" i="2"/>
  <c r="C11" i="2"/>
  <c r="C15" i="2"/>
  <c r="F6" i="2" l="1"/>
  <c r="C24" i="2"/>
  <c r="F7" i="2" l="1"/>
  <c r="F8" i="2" s="1"/>
  <c r="F9" i="2" l="1"/>
  <c r="F10" i="2" s="1"/>
  <c r="F11" i="2" l="1"/>
  <c r="F12" i="2" l="1"/>
  <c r="F13" i="2" s="1"/>
  <c r="H19" i="1"/>
  <c r="H20" i="1" l="1"/>
  <c r="F14" i="2"/>
  <c r="F15" i="2" s="1"/>
  <c r="F16" i="2" s="1"/>
  <c r="F17" i="2" s="1"/>
  <c r="F18" i="2" s="1"/>
  <c r="H17" i="1" l="1"/>
  <c r="F19" i="2"/>
  <c r="F20" i="2" s="1"/>
  <c r="F21" i="2" s="1"/>
  <c r="F23" i="2" s="1"/>
  <c r="H16" i="1" l="1"/>
  <c r="H18" i="1"/>
  <c r="F22" i="2"/>
  <c r="H46" i="1" s="1"/>
  <c r="H109" i="1"/>
  <c r="H107" i="1"/>
  <c r="H100" i="1"/>
  <c r="H110" i="1"/>
  <c r="H108" i="1"/>
  <c r="H106" i="1"/>
  <c r="H99" i="1"/>
  <c r="H97" i="1"/>
  <c r="H98" i="1"/>
  <c r="H96" i="1"/>
  <c r="H86" i="1"/>
  <c r="H87" i="1"/>
  <c r="H85" i="1"/>
  <c r="H83" i="1"/>
  <c r="H84" i="1"/>
  <c r="H82" i="1"/>
  <c r="H81" i="1"/>
  <c r="H80" i="1"/>
  <c r="H79" i="1"/>
  <c r="H78" i="1"/>
  <c r="H67" i="1"/>
  <c r="H68" i="1"/>
  <c r="H66" i="1"/>
  <c r="H64" i="1"/>
  <c r="H65" i="1"/>
  <c r="H53" i="1"/>
  <c r="H52" i="1"/>
  <c r="H54" i="1"/>
  <c r="H55" i="1"/>
  <c r="H36" i="1"/>
  <c r="H40" i="1"/>
  <c r="H44" i="1"/>
  <c r="H48" i="1"/>
  <c r="H58" i="1"/>
  <c r="H62" i="1"/>
  <c r="H71" i="1"/>
  <c r="H75" i="1"/>
  <c r="H89" i="1"/>
  <c r="H93" i="1"/>
  <c r="H102" i="1"/>
  <c r="H4" i="1"/>
  <c r="H8" i="1"/>
  <c r="H12" i="1"/>
  <c r="H25" i="1"/>
  <c r="H29" i="1"/>
  <c r="H33" i="1"/>
  <c r="H51" i="1"/>
  <c r="H63" i="1"/>
  <c r="H76" i="1"/>
  <c r="H94" i="1"/>
  <c r="H103" i="1"/>
  <c r="H9" i="1"/>
  <c r="H26" i="1"/>
  <c r="H34" i="1"/>
  <c r="H11" i="1"/>
  <c r="H50" i="1"/>
  <c r="H37" i="1"/>
  <c r="H41" i="1"/>
  <c r="H45" i="1"/>
  <c r="H49" i="1"/>
  <c r="H59" i="1"/>
  <c r="H72" i="1"/>
  <c r="H90" i="1"/>
  <c r="H5" i="1"/>
  <c r="H13" i="1"/>
  <c r="H30" i="1"/>
  <c r="H39" i="1"/>
  <c r="H47" i="1"/>
  <c r="H61" i="1"/>
  <c r="H74" i="1"/>
  <c r="H92" i="1"/>
  <c r="H7" i="1"/>
  <c r="H28" i="1"/>
  <c r="H38" i="1"/>
  <c r="H42" i="1"/>
  <c r="H56" i="1"/>
  <c r="H60" i="1"/>
  <c r="H69" i="1"/>
  <c r="H73" i="1"/>
  <c r="H77" i="1"/>
  <c r="H91" i="1"/>
  <c r="H95" i="1"/>
  <c r="H104" i="1"/>
  <c r="H6" i="1"/>
  <c r="H10" i="1"/>
  <c r="H23" i="1"/>
  <c r="H27" i="1"/>
  <c r="H35" i="1"/>
  <c r="H43" i="1"/>
  <c r="H57" i="1"/>
  <c r="H70" i="1"/>
  <c r="H88" i="1"/>
  <c r="H101" i="1"/>
  <c r="H105" i="1"/>
  <c r="H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Janda, Martin</author>
  </authors>
  <commentList>
    <comment ref="M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Sum of Qty out.
Prediction included.</t>
        </r>
      </text>
    </comment>
    <comment ref="D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K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Batch size - Failed.</t>
        </r>
      </text>
    </comment>
    <comment ref="L3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N3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O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P3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Q3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R3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FAA090-FF63-4541-BF83-268C1F0B54D7}" name="Query - Output_qry" description="Connection to the 'Output_qry' query in the workbook." type="100" refreshedVersion="6" minRefreshableVersion="5">
    <extLst>
      <ext xmlns:x15="http://schemas.microsoft.com/office/spreadsheetml/2010/11/main" uri="{DE250136-89BD-433C-8126-D09CA5730AF9}">
        <x15:connection id="2fe287dd-e1a3-4148-be8f-2aba05c6752f"/>
      </ext>
    </extLst>
  </connection>
  <connection id="2" xr16:uid="{55C53646-E310-484A-ABE1-2536E86DFEA1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<sst xmlns="http://schemas.openxmlformats.org/spreadsheetml/2006/main" count="790" uniqueCount="353">
  <si>
    <t>KX</t>
  </si>
  <si>
    <t>Batch</t>
  </si>
  <si>
    <t>Progress</t>
  </si>
  <si>
    <t>Shortages</t>
  </si>
  <si>
    <t>Yes</t>
  </si>
  <si>
    <t>No</t>
  </si>
  <si>
    <t>Note</t>
  </si>
  <si>
    <t>Job</t>
  </si>
  <si>
    <t>KX143295</t>
  </si>
  <si>
    <t>Booked in</t>
  </si>
  <si>
    <t>Out qty</t>
  </si>
  <si>
    <t>winding pairs x8</t>
  </si>
  <si>
    <t>Short of…</t>
  </si>
  <si>
    <t>winding pairs x1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</si>
  <si>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</si>
  <si>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</si>
  <si>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</si>
  <si>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</si>
  <si>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</si>
  <si>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</si>
  <si>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</si>
  <si>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</si>
  <si>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</si>
  <si>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</si>
  <si>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</si>
  <si>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</si>
  <si>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</si>
  <si>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</si>
  <si>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31.7.2017</t>
  </si>
  <si>
    <t>RTV (in)</t>
  </si>
  <si>
    <t>winding pair x1</t>
  </si>
  <si>
    <t>% done</t>
  </si>
  <si>
    <t>Cumulative</t>
  </si>
  <si>
    <t>Hours.Minutes (decimal)</t>
  </si>
  <si>
    <t>Adjusted</t>
  </si>
  <si>
    <t>winding pairs x6</t>
  </si>
  <si>
    <t>14. ATP - rig test</t>
  </si>
  <si>
    <t>15. ATP - rig test done</t>
  </si>
  <si>
    <t>failed winding , dielectric, requested, received, unit 7 English winding</t>
  </si>
  <si>
    <t>16. ATP - finalizing</t>
  </si>
  <si>
    <t>17. ATP - finalizing done</t>
  </si>
  <si>
    <t>19. Despatch</t>
  </si>
  <si>
    <t>20. Out</t>
  </si>
  <si>
    <t>20. Fail</t>
  </si>
  <si>
    <t>cases x8</t>
  </si>
  <si>
    <t>First 6 units English windings,
Support cable from next batch, Paperwork 17-04-493, In cell 17-05-437</t>
  </si>
  <si>
    <t>Support cable from next batch, Paperwork 17-04-493, In cell 17-05-437</t>
  </si>
  <si>
    <t>Support cable from next batch, Paperwork 17-04-493, In cell 17-05-437
welding skipped</t>
  </si>
  <si>
    <t>waiting for rig since 4.9. 10:00, rig free 6.9. 9:00
5 people refused to customerize, no progress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</si>
  <si>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</si>
  <si>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</si>
  <si>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</si>
  <si>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</si>
  <si>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</si>
  <si>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</si>
  <si>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</si>
  <si>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</si>
  <si>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</si>
  <si>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</si>
  <si>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</si>
  <si>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</si>
  <si>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</si>
  <si>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sleeving
nut fine pitch x16</t>
  </si>
  <si>
    <t>24/08/2017
13/09/2017</t>
  </si>
  <si>
    <t>sleeving
nut fine pitch x8</t>
  </si>
  <si>
    <t>24/08/2017
14/09/2017</t>
  </si>
  <si>
    <t>1 unit odd presure tube, Jason ok,
Support cable from next batch, Paperwork 17-04-493, In cell 17-05-437
in oven 14/9/2017 11:40</t>
  </si>
  <si>
    <r>
      <t xml:space="preserve">need w/c 25 Sept
</t>
    </r>
    <r>
      <rPr>
        <sz val="11"/>
        <rFont val="Calibri"/>
        <family val="2"/>
        <scheme val="minor"/>
      </rPr>
      <t>in oven 14/9/2017 11:40</t>
    </r>
  </si>
  <si>
    <t>14/09/2017
13/09/2017
13/09/2017
13/09/2017
13/09/2017</t>
  </si>
  <si>
    <r>
      <rPr>
        <strike/>
        <sz val="11"/>
        <color theme="1"/>
        <rFont val="Calibri"/>
        <family val="2"/>
        <scheme val="minor"/>
      </rPr>
      <t>body x1 ok</t>
    </r>
    <r>
      <rPr>
        <sz val="11"/>
        <color theme="1"/>
        <rFont val="Calibri"/>
        <family val="2"/>
        <scheme val="minor"/>
      </rPr>
      <t xml:space="preserve">
</t>
    </r>
    <r>
      <rPr>
        <strike/>
        <sz val="11"/>
        <color theme="1"/>
        <rFont val="Calibri"/>
        <family val="2"/>
        <scheme val="minor"/>
      </rPr>
      <t>tab washer x3
nut fine pitch x16
sleeve
winding x8</t>
    </r>
  </si>
  <si>
    <t>cases x8 - ok
winding pair x1 - ok</t>
  </si>
  <si>
    <t>14/09/2017
25/09/2017</t>
  </si>
  <si>
    <r>
      <t xml:space="preserve">need w/c 25 Sept
</t>
    </r>
    <r>
      <rPr>
        <sz val="11"/>
        <rFont val="Calibri"/>
        <family val="2"/>
        <scheme val="minor"/>
      </rPr>
      <t xml:space="preserve">welding skipped - done
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</si>
  <si>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r>
      <t xml:space="preserve">need w/c 25 Sept
</t>
    </r>
    <r>
      <rPr>
        <sz val="11"/>
        <rFont val="Calibri"/>
        <family val="2"/>
        <scheme val="minor"/>
      </rPr>
      <t xml:space="preserve">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</si>
  <si>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t>Fail reason</t>
  </si>
  <si>
    <t>Output month</t>
  </si>
  <si>
    <t>October</t>
  </si>
  <si>
    <t>Body welded with incorrect part, IRN. 28108, corrected</t>
  </si>
  <si>
    <t>originally 20/10/2107</t>
  </si>
  <si>
    <t>Oven loaded 6/9/2017 am,
Monday 9/10/2017 1st cycle still running, 
Jason informed</t>
  </si>
  <si>
    <t>body x7 - ok
sleeve ch A - ok</t>
  </si>
  <si>
    <t>body x8 - ok
nut fine pitch x8
sleeve ch A - ok</t>
  </si>
  <si>
    <t>06/10/2017
09/10/2017</t>
  </si>
  <si>
    <t>Oven loaded 6/9/2017 am with output 13/10/2107,
Monday 9/10/2017 1st cycle still running, 
Jason informed, output resheduled</t>
  </si>
  <si>
    <t>No output for week starting 02/10/2017! Monday morning oven only 1 cycle of 12 done
oven finished 6/10/2017
rescheduled to following week
Waiting for test rig 10/10/2017 14:00 - 11/10/2017 9:00, plus 1 hour printer repair</t>
  </si>
  <si>
    <r>
      <t xml:space="preserve">cases @ pressure test 32off -cleared,
windings with incorrect paperwork, winding re-tested to be too far apart each other - windings replaced
</t>
    </r>
    <r>
      <rPr>
        <sz val="11"/>
        <color rgb="FFFF0000"/>
        <rFont val="Calibri"/>
        <family val="2"/>
        <scheme val="minor"/>
      </rPr>
      <t>No output for week starting 02/10/2017! Monday morning oven only 1 cycle of 12 done
oven finished 6/10/2017
rescheduled to following week
waiting 2 hours for paperwork</t>
    </r>
  </si>
  <si>
    <t>18/10/2017
18/10/2017</t>
  </si>
  <si>
    <t>Washer tab 1x - ok
Sleeve ch B 2.76" - ok</t>
  </si>
  <si>
    <t>November</t>
  </si>
  <si>
    <t>06/10/2017
06/10/2017
09/10/2017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</si>
  <si>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</si>
  <si>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</si>
  <si>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</si>
  <si>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</si>
  <si>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</si>
  <si>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</si>
  <si>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</si>
  <si>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</si>
  <si>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</si>
  <si>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</si>
  <si>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</si>
  <si>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windings do not fit bodies</t>
  </si>
  <si>
    <t>windings do not fit bodies
1 winding failed initial dielectric strength test, winding pair replaced</t>
  </si>
  <si>
    <t xml:space="preserve">unit 1 stiff winding tube on body's presure tube
</t>
  </si>
  <si>
    <t>1x body presure tubes oversized or winding tubes undersizes</t>
  </si>
  <si>
    <t>KX143324</t>
  </si>
  <si>
    <t>KX143357</t>
  </si>
  <si>
    <t>KX143214</t>
  </si>
  <si>
    <t>KX143148</t>
  </si>
  <si>
    <t>KX143149</t>
  </si>
  <si>
    <t>KX143213</t>
  </si>
  <si>
    <t>KX143373</t>
  </si>
  <si>
    <t>KX143374</t>
  </si>
  <si>
    <t>KX143375</t>
  </si>
  <si>
    <t>KX143447</t>
  </si>
  <si>
    <t>KX143618</t>
  </si>
  <si>
    <t>KX143619</t>
  </si>
  <si>
    <t>KX143646</t>
  </si>
  <si>
    <t>KX143645</t>
  </si>
  <si>
    <t>KX143647</t>
  </si>
  <si>
    <t>KX143925</t>
  </si>
  <si>
    <t>KX143926</t>
  </si>
  <si>
    <t>KX143927</t>
  </si>
  <si>
    <t>KXHX10</t>
  </si>
  <si>
    <t>KX144071</t>
  </si>
  <si>
    <t>KX144072</t>
  </si>
  <si>
    <t>KX144073</t>
  </si>
  <si>
    <t>KX144314</t>
  </si>
  <si>
    <t>KX144315</t>
  </si>
  <si>
    <t>KX144316</t>
  </si>
  <si>
    <t>KX144317</t>
  </si>
  <si>
    <t>KX144464</t>
  </si>
  <si>
    <t>KX144465</t>
  </si>
  <si>
    <t>KX144466</t>
  </si>
  <si>
    <t>KX144622</t>
  </si>
  <si>
    <t>KX144623</t>
  </si>
  <si>
    <t>KX144764</t>
  </si>
  <si>
    <t>KX144765</t>
  </si>
  <si>
    <t>KX144819</t>
  </si>
  <si>
    <t>KX144820</t>
  </si>
  <si>
    <t>KX144821</t>
  </si>
  <si>
    <t>KX144822</t>
  </si>
  <si>
    <t>KX144898</t>
  </si>
  <si>
    <t>KX144899</t>
  </si>
  <si>
    <t>KX144962</t>
  </si>
  <si>
    <t>JSC000256</t>
  </si>
  <si>
    <t>JSC000257</t>
  </si>
  <si>
    <t>reaming winding tubes x6 to 5.05 mm, all reamed</t>
  </si>
  <si>
    <t>JSC000464</t>
  </si>
  <si>
    <t>JSC000549</t>
  </si>
  <si>
    <t>JSC000550</t>
  </si>
  <si>
    <t>JSC000551</t>
  </si>
  <si>
    <t>body x7 - ok</t>
  </si>
  <si>
    <t>body x8 - ok</t>
  </si>
  <si>
    <t>JSC000672</t>
  </si>
  <si>
    <t xml:space="preserve">windings waiting for relacement, ok
</t>
  </si>
  <si>
    <t>windings waiting for relacement - ok</t>
  </si>
  <si>
    <t>JSC000717</t>
  </si>
  <si>
    <t>JSC000718</t>
  </si>
  <si>
    <t>JSC000738</t>
  </si>
  <si>
    <t>cable suport x8 - ok</t>
  </si>
  <si>
    <t>JSC000739</t>
  </si>
  <si>
    <t>18. Final inspection</t>
  </si>
  <si>
    <t>welding skipped - done</t>
  </si>
  <si>
    <t>JSC000831</t>
  </si>
  <si>
    <t>Shortage filled</t>
  </si>
  <si>
    <t>end of day</t>
  </si>
  <si>
    <t>JSC1144</t>
  </si>
  <si>
    <t>JSC1145</t>
  </si>
  <si>
    <t>tab washer x8 - ok</t>
  </si>
  <si>
    <t>JSC1238</t>
  </si>
  <si>
    <t>Time [% of sum]</t>
  </si>
  <si>
    <t>most liketly will not make it - no rig, so it will slip to 31/01/2018</t>
  </si>
  <si>
    <t>welding skipped</t>
  </si>
  <si>
    <t>JSC1270</t>
  </si>
  <si>
    <t>JSC1271</t>
  </si>
  <si>
    <t xml:space="preserve"> </t>
  </si>
  <si>
    <t>23/01/2018
31/01/2018
22/01/2018</t>
  </si>
  <si>
    <t>cable suport x8 - ok
washer x3 - ok
body x7 - ok</t>
  </si>
  <si>
    <t>nut fine pitch x16</t>
  </si>
  <si>
    <t>nut fine pitch x6</t>
  </si>
  <si>
    <t>JSC1345</t>
  </si>
  <si>
    <t>Cannot find start position for lane B, opened circuit  Green x Blue, scrap x1.</t>
  </si>
  <si>
    <t>JSC2595</t>
  </si>
  <si>
    <t>NO OUTPUT</t>
  </si>
  <si>
    <t>JSC2855</t>
  </si>
  <si>
    <t>JSC3106</t>
  </si>
  <si>
    <t>JSC3129</t>
  </si>
  <si>
    <t>Outupt: 31/5/18 If they make it heatcycling oven on Friday. Very unlikely with obstacles I have faced.</t>
  </si>
  <si>
    <t>shafts x8 - ok</t>
  </si>
  <si>
    <t>JSC3979</t>
  </si>
  <si>
    <t>JSC3980</t>
  </si>
  <si>
    <t>shafts x3 - ok</t>
  </si>
  <si>
    <t>heatshrink -11.81" - ok</t>
  </si>
  <si>
    <t>JSC4228</t>
  </si>
  <si>
    <t>JSC4244</t>
  </si>
  <si>
    <t>JSC4243</t>
  </si>
  <si>
    <t>Dean involved</t>
  </si>
  <si>
    <t>1x cut insulation</t>
  </si>
  <si>
    <t>Total despatched</t>
  </si>
  <si>
    <t>x1 failed tracking</t>
  </si>
  <si>
    <t>x1 failed</t>
  </si>
  <si>
    <t>1 concession request to Malc (e-mailed) for 17G00643</t>
  </si>
  <si>
    <t>batch split as 7+1</t>
  </si>
  <si>
    <t>Month plan</t>
  </si>
  <si>
    <t>Assembled</t>
  </si>
  <si>
    <t>White board - Work in progress D46814</t>
  </si>
  <si>
    <t>Output month no</t>
  </si>
  <si>
    <t>Year</t>
  </si>
  <si>
    <t>Went for welding 7/8/18 9:00</t>
  </si>
  <si>
    <t>Dean involved
Went for welding 7/8/18 9:00</t>
  </si>
  <si>
    <t>Dean involved, 
went for welding 7/8/18 9:00
back from welding 9/8/18 11:30</t>
  </si>
  <si>
    <t>JSC4570</t>
  </si>
  <si>
    <t>JSC4571</t>
  </si>
  <si>
    <t>JSC4619</t>
  </si>
  <si>
    <t>Operator</t>
  </si>
  <si>
    <t>Dean</t>
  </si>
  <si>
    <t>Martin</t>
  </si>
  <si>
    <t>Dean involved
Martin holiday 27/8/18 - 7/9/18</t>
  </si>
  <si>
    <t>JSC4942</t>
  </si>
  <si>
    <t>JSC4943</t>
  </si>
  <si>
    <t>JSC4976</t>
  </si>
  <si>
    <t>JSC4977</t>
  </si>
  <si>
    <t>JSC4978</t>
  </si>
  <si>
    <t>heatshrink -11.81" - ok
shafts - 9x - ok</t>
  </si>
  <si>
    <t>end cap x8 - ok</t>
  </si>
  <si>
    <t>JSC5143</t>
  </si>
  <si>
    <t>JSC5142</t>
  </si>
  <si>
    <t>JSC5144</t>
  </si>
  <si>
    <t>JSC5145</t>
  </si>
  <si>
    <t>JSC5146</t>
  </si>
  <si>
    <t>Dean involved
Martin holiday 27/8/18 - 7/9/18
welding skipped - done</t>
  </si>
  <si>
    <t>Martin holiday 27/8/18 - 7/9/18</t>
  </si>
  <si>
    <t>coupling x1 - ok</t>
  </si>
  <si>
    <t>1x wire damaged insulation</t>
  </si>
  <si>
    <t>Manager / Planner review</t>
  </si>
  <si>
    <t>Vincent</t>
  </si>
  <si>
    <t>couplings x8 - ok
shafts x9 - ok</t>
  </si>
  <si>
    <t xml:space="preserve">couplings x8 - ok
</t>
  </si>
  <si>
    <t xml:space="preserve">
welding skipped - ok</t>
  </si>
  <si>
    <t>welding skipped - ok</t>
  </si>
  <si>
    <t>19/09/2018
27/09/2018</t>
  </si>
  <si>
    <t>JSC5526</t>
  </si>
  <si>
    <t>holiday 15/10 - 19/10</t>
  </si>
  <si>
    <t>In stock (month begins)</t>
  </si>
  <si>
    <t>only label needed</t>
  </si>
  <si>
    <t>winding pairs x8 - ok
body x1 - lent for investigation - ok</t>
  </si>
  <si>
    <t>18/09/2018
12/10/2018</t>
  </si>
  <si>
    <t>JSC5527</t>
  </si>
  <si>
    <t>JSC5632</t>
  </si>
  <si>
    <t>JSC5892</t>
  </si>
  <si>
    <t>JSC5893</t>
  </si>
  <si>
    <t>JSC6066</t>
  </si>
  <si>
    <t>Relevant to</t>
  </si>
  <si>
    <t>JSC6065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</si>
  <si>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</si>
  <si>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</si>
  <si>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</si>
  <si>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</si>
  <si>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</si>
  <si>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</si>
  <si>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</si>
  <si>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</si>
  <si>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</si>
  <si>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</si>
  <si>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</si>
  <si>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</si>
  <si>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</si>
  <si>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</si>
  <si>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</si>
  <si>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</si>
  <si>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</si>
  <si>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</si>
  <si>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</si>
  <si>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</si>
  <si>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</si>
  <si>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</si>
  <si>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</si>
  <si>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</si>
  <si>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</si>
  <si>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</si>
  <si>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</si>
  <si>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</si>
  <si>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</si>
  <si>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</si>
  <si>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</si>
  <si>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</si>
  <si>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</si>
  <si>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</si>
  <si>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</si>
  <si>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</si>
  <si>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</si>
  <si>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</si>
  <si>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</si>
  <si>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t>JSC6157</t>
  </si>
  <si>
    <t>JSC6158</t>
  </si>
  <si>
    <t>heatshrink - ok
end cups x4 - ok</t>
  </si>
  <si>
    <t>31/10/2018
19/11/2018</t>
  </si>
  <si>
    <t>heatshrink - ok
end cap x8 - ok</t>
  </si>
  <si>
    <t>heatshrink ok
end cap x8 - ok</t>
  </si>
  <si>
    <t>end caps x8 - ok</t>
  </si>
  <si>
    <t>tab washer x5 - ok
end cap x8 - ok</t>
  </si>
  <si>
    <t>19/11/2018
19/11/2018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</si>
  <si>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</si>
  <si>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</si>
  <si>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JSC6255</t>
  </si>
  <si>
    <t>JSC6254</t>
  </si>
  <si>
    <t>bodies x8</t>
  </si>
  <si>
    <t>JSC6332</t>
  </si>
  <si>
    <t>JSC6333</t>
  </si>
  <si>
    <t>x1 - failed tracking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</si>
  <si>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</si>
  <si>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</si>
  <si>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</si>
  <si>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</si>
  <si>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</si>
  <si>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</si>
  <si>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</si>
  <si>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</si>
  <si>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r>
      <t xml:space="preserve">despatch on time depends on shortageses filled 29/11/2018 morning
1 winding de-kited and moved to JSC6255
despatch moved to </t>
    </r>
    <r>
      <rPr>
        <b/>
        <sz val="12"/>
        <color rgb="FFFF0000"/>
        <rFont val="Calibri"/>
        <family val="2"/>
        <scheme val="minor"/>
      </rPr>
      <t xml:space="preserve">21/12/2018 </t>
    </r>
    <r>
      <rPr>
        <sz val="11"/>
        <color rgb="FFFF0000"/>
        <rFont val="Calibri"/>
        <family val="2"/>
        <scheme val="minor"/>
      </rPr>
      <t>from 14/12/2018
LATE, after lunch</t>
    </r>
  </si>
  <si>
    <r>
      <t xml:space="preserve">made mistake with heatcycling moved from 14/12/2018 to the following week
</t>
    </r>
    <r>
      <rPr>
        <sz val="11"/>
        <color rgb="FFFF0000"/>
        <rFont val="Calibri"/>
        <family val="2"/>
        <scheme val="minor"/>
      </rPr>
      <t>LATE, after lunch</t>
    </r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</si>
  <si>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</si>
  <si>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</si>
  <si>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</si>
  <si>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</si>
  <si>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</si>
  <si>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</si>
  <si>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</si>
  <si>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</si>
  <si>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Other calculated fields depend on this column
Fill 1st row (job) of the month, leave other (darker fill) rows blank</t>
  </si>
  <si>
    <t>Still required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</si>
  <si>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</si>
  <si>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</si>
  <si>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</si>
  <si>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</si>
  <si>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</si>
  <si>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</si>
  <si>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</si>
  <si>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</si>
  <si>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</si>
  <si>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</si>
  <si>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</si>
  <si>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JSC6715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</si>
  <si>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</si>
  <si>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</si>
  <si>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</si>
  <si>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</si>
  <si>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</si>
  <si>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07/07/2019
09/01/2019
07/01/2019</t>
  </si>
  <si>
    <t>Month (Plan)</t>
  </si>
  <si>
    <t>Month (plan) Quantity</t>
  </si>
  <si>
    <t>Year (Plan)</t>
  </si>
  <si>
    <t>Month number (Plan)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</si>
</sst>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9" fillId="8" borderId="0" applyNumberFormat="0" applyBorder="0" applyAlignment="0" applyProtection="0"/>
    <xf numFmtId="0" fontId="38" fillId="0" borderId="0" applyNumberFormat="0" applyFill="0" applyBorder="0" applyAlignment="0" applyProtection="0"/>
    <xf numFmtId="0" fontId="9" fillId="11" borderId="0" applyNumberFormat="0" applyBorder="0" applyAlignment="0" applyProtection="0"/>
  </cellStyleXfs>
  <cellXfs count="17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10" fillId="0" borderId="0" xfId="1" applyNumberFormat="1" applyFont="1" applyBorder="1"/>
    <xf numFmtId="2" fontId="9" fillId="0" borderId="0" xfId="1" applyNumberFormat="1" applyFont="1" applyBorder="1"/>
    <xf numFmtId="0" fontId="9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 applyAlignment="1">
      <alignment wrapText="1"/>
    </xf>
    <xf numFmtId="0" fontId="17" fillId="0" borderId="0" xfId="0" applyFont="1" applyBorder="1"/>
    <xf numFmtId="0" fontId="0" fillId="0" borderId="0" xfId="1" applyNumberFormat="1" applyFont="1" applyBorder="1"/>
    <xf numFmtId="0" fontId="10" fillId="0" borderId="2" xfId="0" applyFont="1" applyBorder="1"/>
    <xf numFmtId="0" fontId="10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14" fontId="6" fillId="0" borderId="0" xfId="0" applyNumberFormat="1" applyFont="1" applyFill="1"/>
    <xf numFmtId="14" fontId="7" fillId="0" borderId="0" xfId="0" applyNumberFormat="1" applyFont="1" applyFill="1"/>
    <xf numFmtId="22" fontId="0" fillId="0" borderId="0" xfId="0" applyNumberFormat="1" applyFill="1"/>
    <xf numFmtId="14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9" fillId="6" borderId="0" xfId="2"/>
    <xf numFmtId="0" fontId="14" fillId="0" borderId="0" xfId="0" applyFont="1" applyFill="1"/>
    <xf numFmtId="0" fontId="0" fillId="0" borderId="0" xfId="0" applyNumberFormat="1" applyFill="1"/>
    <xf numFmtId="14" fontId="0" fillId="0" borderId="0" xfId="0" applyNumberFormat="1" applyFill="1" applyBorder="1"/>
    <xf numFmtId="0" fontId="2" fillId="0" borderId="2" xfId="0" applyFont="1" applyBorder="1"/>
    <xf numFmtId="0" fontId="0" fillId="0" borderId="3" xfId="0" applyFill="1" applyBorder="1"/>
    <xf numFmtId="0" fontId="0" fillId="0" borderId="2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NumberFormat="1" applyFill="1" applyBorder="1"/>
    <xf numFmtId="0" fontId="0" fillId="4" borderId="25" xfId="0" applyFont="1" applyFill="1" applyBorder="1"/>
    <xf numFmtId="0" fontId="0" fillId="4" borderId="26" xfId="0" applyFont="1" applyFill="1" applyBorder="1"/>
    <xf numFmtId="0" fontId="0" fillId="4" borderId="27" xfId="0" applyFont="1" applyFill="1" applyBorder="1"/>
    <xf numFmtId="0" fontId="0" fillId="0" borderId="3" xfId="0" applyFont="1" applyFill="1" applyBorder="1"/>
    <xf numFmtId="0" fontId="20" fillId="4" borderId="26" xfId="0" applyFont="1" applyFill="1" applyBorder="1" applyAlignment="1"/>
    <xf numFmtId="0" fontId="20" fillId="4" borderId="25" xfId="0" applyFont="1" applyFill="1" applyBorder="1"/>
    <xf numFmtId="0" fontId="2" fillId="0" borderId="0" xfId="0" applyFont="1" applyBorder="1"/>
    <xf numFmtId="0" fontId="2" fillId="0" borderId="3" xfId="0" applyFont="1" applyBorder="1"/>
    <xf numFmtId="0" fontId="10" fillId="0" borderId="23" xfId="0" applyFont="1" applyFill="1" applyBorder="1"/>
    <xf numFmtId="0" fontId="22" fillId="0" borderId="23" xfId="0" applyFont="1" applyFill="1" applyBorder="1"/>
    <xf numFmtId="0" fontId="23" fillId="0" borderId="23" xfId="0" applyFont="1" applyFill="1" applyBorder="1"/>
    <xf numFmtId="0" fontId="10" fillId="0" borderId="24" xfId="0" applyFont="1" applyFill="1" applyBorder="1"/>
    <xf numFmtId="10" fontId="10" fillId="0" borderId="3" xfId="1" applyNumberFormat="1" applyFont="1" applyBorder="1"/>
    <xf numFmtId="10" fontId="10" fillId="0" borderId="10" xfId="1" applyNumberFormat="1" applyFont="1" applyBorder="1"/>
    <xf numFmtId="0" fontId="10" fillId="5" borderId="21" xfId="0" applyFont="1" applyFill="1" applyBorder="1"/>
    <xf numFmtId="0" fontId="21" fillId="6" borderId="0" xfId="2" applyFont="1"/>
    <xf numFmtId="9" fontId="10" fillId="0" borderId="2" xfId="0" applyNumberFormat="1" applyFont="1" applyFill="1" applyBorder="1"/>
    <xf numFmtId="9" fontId="10" fillId="0" borderId="0" xfId="0" applyNumberFormat="1" applyFont="1" applyFill="1" applyBorder="1"/>
    <xf numFmtId="9" fontId="24" fillId="0" borderId="0" xfId="0" applyNumberFormat="1" applyFont="1" applyFill="1" applyBorder="1"/>
    <xf numFmtId="14" fontId="10" fillId="0" borderId="0" xfId="0" applyNumberFormat="1" applyFont="1" applyBorder="1"/>
    <xf numFmtId="0" fontId="10" fillId="0" borderId="3" xfId="0" applyFont="1" applyBorder="1"/>
    <xf numFmtId="0" fontId="0" fillId="0" borderId="31" xfId="0" applyBorder="1"/>
    <xf numFmtId="0" fontId="8" fillId="0" borderId="0" xfId="0" applyFont="1" applyFill="1"/>
    <xf numFmtId="0" fontId="8" fillId="0" borderId="0" xfId="0" quotePrefix="1" applyFont="1" applyFill="1"/>
    <xf numFmtId="9" fontId="10" fillId="0" borderId="0" xfId="0" applyNumberFormat="1" applyFont="1" applyFill="1"/>
    <xf numFmtId="14" fontId="10" fillId="0" borderId="0" xfId="0" applyNumberFormat="1" applyFont="1"/>
    <xf numFmtId="0" fontId="8" fillId="0" borderId="0" xfId="0" applyFont="1" applyFill="1" applyBorder="1"/>
    <xf numFmtId="14" fontId="0" fillId="0" borderId="0" xfId="0" applyNumberFormat="1" applyFill="1" applyAlignment="1">
      <alignment horizontal="right" wrapText="1"/>
    </xf>
    <xf numFmtId="0" fontId="11" fillId="0" borderId="0" xfId="0" applyFont="1" applyFill="1" applyBorder="1" applyAlignment="1">
      <alignment horizontal="left"/>
    </xf>
    <xf numFmtId="0" fontId="0" fillId="0" borderId="32" xfId="0" applyBorder="1"/>
    <xf numFmtId="0" fontId="0" fillId="0" borderId="35" xfId="0" applyBorder="1"/>
    <xf numFmtId="0" fontId="0" fillId="0" borderId="36" xfId="0" applyBorder="1"/>
    <xf numFmtId="0" fontId="0" fillId="0" borderId="34" xfId="0" applyBorder="1"/>
    <xf numFmtId="0" fontId="0" fillId="0" borderId="35" xfId="0" applyBorder="1" applyAlignment="1">
      <alignment wrapText="1"/>
    </xf>
    <xf numFmtId="0" fontId="0" fillId="3" borderId="37" xfId="0" applyFill="1" applyBorder="1"/>
    <xf numFmtId="0" fontId="0" fillId="3" borderId="38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39" xfId="0" applyFill="1" applyBorder="1"/>
    <xf numFmtId="0" fontId="0" fillId="3" borderId="10" xfId="0" applyFill="1" applyBorder="1"/>
    <xf numFmtId="0" fontId="2" fillId="0" borderId="40" xfId="0" applyFont="1" applyBorder="1"/>
    <xf numFmtId="0" fontId="2" fillId="0" borderId="41" xfId="0" applyFont="1" applyBorder="1"/>
    <xf numFmtId="0" fontId="2" fillId="0" borderId="42" xfId="0" applyFont="1" applyBorder="1"/>
    <xf numFmtId="0" fontId="0" fillId="3" borderId="43" xfId="0" applyFill="1" applyBorder="1"/>
    <xf numFmtId="0" fontId="10" fillId="0" borderId="32" xfId="0" applyFont="1" applyBorder="1"/>
    <xf numFmtId="0" fontId="17" fillId="0" borderId="35" xfId="0" applyFont="1" applyBorder="1"/>
    <xf numFmtId="0" fontId="17" fillId="0" borderId="33" xfId="0" applyFont="1" applyBorder="1"/>
    <xf numFmtId="0" fontId="16" fillId="2" borderId="1" xfId="0" applyFont="1" applyFill="1" applyBorder="1" applyAlignment="1"/>
    <xf numFmtId="0" fontId="26" fillId="2" borderId="1" xfId="0" applyFont="1" applyFill="1" applyBorder="1" applyAlignment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4" xfId="0" applyBorder="1"/>
    <xf numFmtId="0" fontId="0" fillId="0" borderId="10" xfId="0" applyBorder="1"/>
    <xf numFmtId="0" fontId="9" fillId="8" borderId="4" xfId="4" applyBorder="1"/>
    <xf numFmtId="0" fontId="9" fillId="8" borderId="10" xfId="4" applyBorder="1"/>
    <xf numFmtId="0" fontId="9" fillId="8" borderId="28" xfId="4" applyBorder="1"/>
    <xf numFmtId="0" fontId="9" fillId="8" borderId="30" xfId="4" applyBorder="1"/>
    <xf numFmtId="0" fontId="9" fillId="8" borderId="2" xfId="4" applyBorder="1"/>
    <xf numFmtId="0" fontId="33" fillId="0" borderId="0" xfId="0" applyFont="1" applyFill="1"/>
    <xf numFmtId="0" fontId="34" fillId="0" borderId="0" xfId="0" applyFont="1" applyFill="1"/>
    <xf numFmtId="0" fontId="37" fillId="0" borderId="0" xfId="0" applyFont="1" applyFill="1"/>
    <xf numFmtId="0" fontId="0" fillId="0" borderId="0" xfId="0" applyFill="1" applyAlignment="1">
      <alignment horizontal="right" wrapText="1"/>
    </xf>
    <xf numFmtId="0" fontId="17" fillId="0" borderId="35" xfId="0" applyFont="1" applyBorder="1" applyAlignment="1">
      <alignment wrapText="1"/>
    </xf>
    <xf numFmtId="0" fontId="0" fillId="4" borderId="0" xfId="0" applyFont="1" applyFill="1" applyBorder="1"/>
    <xf numFmtId="0" fontId="39" fillId="2" borderId="1" xfId="5" applyFont="1" applyFill="1" applyBorder="1" applyAlignment="1">
      <alignment horizontal="center"/>
    </xf>
    <xf numFmtId="0" fontId="0" fillId="8" borderId="3" xfId="4" applyFont="1" applyBorder="1"/>
    <xf numFmtId="0" fontId="9" fillId="11" borderId="0" xfId="6"/>
    <xf numFmtId="0" fontId="10" fillId="0" borderId="0" xfId="0" applyFont="1" applyBorder="1"/>
    <xf numFmtId="0" fontId="41" fillId="0" borderId="0" xfId="0" applyFont="1" applyAlignment="1">
      <alignment wrapText="1"/>
    </xf>
    <xf numFmtId="14" fontId="6" fillId="0" borderId="3" xfId="0" applyNumberFormat="1" applyFont="1" applyFill="1" applyBorder="1"/>
    <xf numFmtId="0" fontId="7" fillId="0" borderId="3" xfId="0" quotePrefix="1" applyFont="1" applyFill="1" applyBorder="1"/>
    <xf numFmtId="0" fontId="0" fillId="0" borderId="3" xfId="0" applyFill="1" applyBorder="1" applyAlignment="1">
      <alignment wrapText="1"/>
    </xf>
    <xf numFmtId="0" fontId="13" fillId="0" borderId="3" xfId="0" applyFont="1" applyFill="1" applyBorder="1" applyAlignment="1">
      <alignment wrapText="1"/>
    </xf>
    <xf numFmtId="0" fontId="14" fillId="0" borderId="3" xfId="0" applyFont="1" applyFill="1" applyBorder="1" applyAlignment="1">
      <alignment wrapText="1"/>
    </xf>
    <xf numFmtId="0" fontId="8" fillId="0" borderId="3" xfId="0" applyFont="1" applyFill="1" applyBorder="1" applyAlignment="1">
      <alignment wrapText="1"/>
    </xf>
    <xf numFmtId="0" fontId="18" fillId="0" borderId="3" xfId="0" applyFont="1" applyFill="1" applyBorder="1"/>
    <xf numFmtId="0" fontId="10" fillId="0" borderId="3" xfId="0" applyFont="1" applyFill="1" applyBorder="1"/>
    <xf numFmtId="0" fontId="14" fillId="0" borderId="3" xfId="0" applyFont="1" applyFill="1" applyBorder="1" applyAlignment="1">
      <alignment horizontal="left" vertical="top" wrapText="1"/>
    </xf>
    <xf numFmtId="14" fontId="0" fillId="0" borderId="0" xfId="0" applyNumberFormat="1" applyFont="1" applyFill="1" applyBorder="1"/>
    <xf numFmtId="14" fontId="0" fillId="0" borderId="22" xfId="0" applyNumberFormat="1" applyFill="1" applyBorder="1"/>
    <xf numFmtId="0" fontId="0" fillId="0" borderId="0" xfId="0" applyFont="1" applyFill="1" applyBorder="1"/>
    <xf numFmtId="0" fontId="0" fillId="0" borderId="21" xfId="0" applyFill="1" applyBorder="1"/>
    <xf numFmtId="0" fontId="31" fillId="10" borderId="2" xfId="0" applyFont="1" applyFill="1" applyBorder="1" applyAlignment="1">
      <alignment horizontal="center" vertical="center" wrapText="1"/>
    </xf>
    <xf numFmtId="0" fontId="31" fillId="10" borderId="0" xfId="0" applyFont="1" applyFill="1" applyBorder="1" applyAlignment="1">
      <alignment horizontal="center" vertical="center" wrapText="1"/>
    </xf>
    <xf numFmtId="0" fontId="31" fillId="10" borderId="3" xfId="0" applyFont="1" applyFill="1" applyBorder="1" applyAlignment="1">
      <alignment horizontal="center" vertical="center" wrapText="1"/>
    </xf>
    <xf numFmtId="0" fontId="31" fillId="9" borderId="28" xfId="0" applyFont="1" applyFill="1" applyBorder="1" applyAlignment="1">
      <alignment horizontal="center" vertical="center"/>
    </xf>
    <xf numFmtId="0" fontId="31" fillId="9" borderId="29" xfId="0" applyFont="1" applyFill="1" applyBorder="1" applyAlignment="1">
      <alignment horizontal="center" vertical="center"/>
    </xf>
    <xf numFmtId="0" fontId="31" fillId="9" borderId="30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0" fillId="8" borderId="47" xfId="4" applyFont="1" applyBorder="1" applyAlignment="1">
      <alignment horizontal="left"/>
    </xf>
    <xf numFmtId="0" fontId="9" fillId="8" borderId="38" xfId="4" applyBorder="1" applyAlignment="1">
      <alignment horizontal="left"/>
    </xf>
    <xf numFmtId="0" fontId="25" fillId="0" borderId="5" xfId="0" applyFont="1" applyBorder="1"/>
    <xf numFmtId="0" fontId="25" fillId="0" borderId="11" xfId="0" applyFont="1" applyBorder="1"/>
    <xf numFmtId="0" fontId="0" fillId="8" borderId="4" xfId="4" applyFont="1" applyBorder="1" applyAlignment="1">
      <alignment horizontal="left" wrapText="1"/>
    </xf>
    <xf numFmtId="0" fontId="9" fillId="8" borderId="10" xfId="4" applyBorder="1" applyAlignment="1">
      <alignment horizontal="left" wrapText="1"/>
    </xf>
    <xf numFmtId="0" fontId="15" fillId="7" borderId="19" xfId="3" applyFont="1" applyBorder="1" applyAlignment="1">
      <alignment horizontal="center"/>
    </xf>
    <xf numFmtId="0" fontId="15" fillId="7" borderId="20" xfId="3" applyFont="1" applyBorder="1" applyAlignment="1">
      <alignment horizontal="center"/>
    </xf>
    <xf numFmtId="0" fontId="0" fillId="8" borderId="47" xfId="4" applyFont="1" applyBorder="1" applyAlignment="1">
      <alignment horizontal="left" wrapText="1"/>
    </xf>
    <xf numFmtId="0" fontId="9" fillId="8" borderId="38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48" xfId="4" applyFont="1" applyBorder="1" applyAlignment="1">
      <alignment horizontal="left" wrapText="1"/>
    </xf>
    <xf numFmtId="0" fontId="9" fillId="8" borderId="49" xfId="4" applyBorder="1" applyAlignment="1">
      <alignment horizontal="left" wrapText="1"/>
    </xf>
    <xf numFmtId="0" fontId="0" fillId="0" borderId="47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4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40" fillId="6" borderId="44" xfId="2" applyFont="1" applyBorder="1" applyAlignment="1">
      <alignment horizontal="center"/>
    </xf>
    <xf numFmtId="0" fontId="40" fillId="6" borderId="45" xfId="2" applyFont="1" applyBorder="1" applyAlignment="1">
      <alignment horizontal="center"/>
    </xf>
    <xf numFmtId="0" fontId="40" fillId="6" borderId="46" xfId="2" applyFont="1" applyBorder="1" applyAlignment="1">
      <alignment horizontal="center"/>
    </xf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81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Flattened Pivot Style" table="0" count="3" xr9:uid="{E0DD01F3-0CEA-4D6E-9449-B7353179F058}">
      <tableStyleElement type="headerRow" dxfId="80"/>
      <tableStyleElement type="totalRow" dxfId="79"/>
      <tableStyleElement type="secondRowStripe" dxfId="78"/>
    </tableStyle>
  </tableStyles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9" Type="http://schemas.openxmlformats.org/officeDocument/2006/relationships/customXml" Target="../customXml/item29.xml"/><Relationship Id="rId21" Type="http://schemas.openxmlformats.org/officeDocument/2006/relationships/customXml" Target="../customXml/item11.xml"/><Relationship Id="rId34" Type="http://schemas.openxmlformats.org/officeDocument/2006/relationships/customXml" Target="../customXml/item24.xml"/><Relationship Id="rId42" Type="http://schemas.openxmlformats.org/officeDocument/2006/relationships/customXml" Target="../customXml/item32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41" Type="http://schemas.openxmlformats.org/officeDocument/2006/relationships/customXml" Target="../customXml/item3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32" Type="http://schemas.openxmlformats.org/officeDocument/2006/relationships/customXml" Target="../customXml/item22.xml"/><Relationship Id="rId37" Type="http://schemas.openxmlformats.org/officeDocument/2006/relationships/customXml" Target="../customXml/item27.xml"/><Relationship Id="rId40" Type="http://schemas.openxmlformats.org/officeDocument/2006/relationships/customXml" Target="../customXml/item30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36" Type="http://schemas.openxmlformats.org/officeDocument/2006/relationships/customXml" Target="../customXml/item26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31" Type="http://schemas.openxmlformats.org/officeDocument/2006/relationships/customXml" Target="../customXml/item2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Relationship Id="rId35" Type="http://schemas.openxmlformats.org/officeDocument/2006/relationships/customXml" Target="../customXml/item25.xml"/><Relationship Id="rId43" Type="http://schemas.openxmlformats.org/officeDocument/2006/relationships/customXml" Target="../customXml/item33.xml"/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33" Type="http://schemas.openxmlformats.org/officeDocument/2006/relationships/customXml" Target="../customXml/item23.xml"/><Relationship Id="rId38" Type="http://schemas.openxmlformats.org/officeDocument/2006/relationships/customXml" Target="../customXml/item2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Output_Table" displayName="Output_Table" ref="A3:S110" totalsRowShown="0" headerRowDxfId="30" dataDxfId="29">
  <autoFilter ref="A3:S110" xr:uid="{00000000-0009-0000-0100-000001000000}"/>
  <tableColumns count="19">
    <tableColumn id="1" xr3:uid="{00000000-0010-0000-0100-000001000000}" name="Job" dataDxfId="28"/>
    <tableColumn id="7" xr3:uid="{00000000-0010-0000-0100-000007000000}" name="Booked in" dataDxfId="27"/>
    <tableColumn id="2" xr3:uid="{00000000-0010-0000-0100-000002000000}" name="Batch" dataDxfId="26"/>
    <tableColumn id="5" xr3:uid="{00000000-0010-0000-0100-000005000000}" name="Shortages" dataDxfId="25"/>
    <tableColumn id="9" xr3:uid="{00000000-0010-0000-0100-000009000000}" name="Short of…" dataDxfId="24"/>
    <tableColumn id="10" xr3:uid="{00000000-0010-0000-0100-00000A000000}" name="Shortage filled" dataDxfId="23"/>
    <tableColumn id="4" xr3:uid="{00000000-0010-0000-0100-000004000000}" name="Progress" dataDxfId="22"/>
    <tableColumn id="15" xr3:uid="{00000000-0010-0000-0100-00000F000000}" name="% done" dataDxfId="21">
      <calculatedColumnFormula>_xlfn.IFNA(VLOOKUP(Output_Table[[#This Row],[Progress]],ProgressCalculation_List,6,FALSE),"")</calculatedColumnFormula>
    </tableColumn>
    <tableColumn id="23" xr3:uid="{00000000-0010-0000-0100-000017000000}" name="Operator" dataDxfId="20"/>
    <tableColumn id="13" xr3:uid="{00000000-0010-0000-0100-00000D000000}" name="Out by" dataDxfId="19"/>
    <tableColumn id="8" xr3:uid="{00000000-0010-0000-0100-000008000000}" name="Out qty" dataDxfId="18"/>
    <tableColumn id="14" xr3:uid="{00000000-0010-0000-0100-00000E000000}" name="Fail reason" dataDxfId="17"/>
    <tableColumn id="11" xr3:uid="{00000000-0010-0000-0100-00000B000000}" name="RTV (in)" dataDxfId="16"/>
    <tableColumn id="6" xr3:uid="{00000000-0010-0000-0100-000006000000}" name="Note" dataDxfId="15"/>
    <tableColumn id="17" xr3:uid="{00000000-0010-0000-0100-000011000000}" name="In stock (month begins)" dataDxfId="14"/>
    <tableColumn id="18" xr3:uid="{00000000-0010-0000-0100-000012000000}" name="Month (plan) Quantity" dataDxfId="13"/>
    <tableColumn id="3" xr3:uid="{00000000-0010-0000-0100-000003000000}" name="Month (Plan)" dataDxfId="12"/>
    <tableColumn id="19" xr3:uid="{00000000-0010-0000-0100-000013000000}" name="Year (Plan)" dataDxfId="11"/>
    <tableColumn id="12" xr3:uid="{7CC8FBCB-A0B3-4F02-B0CA-7D0568DC9F9B}" name="Month number (Plan)" dataDxfId="10">
      <calculatedColumnFormula>TEXT(_xlfn.IFNA(VLOOKUP(Output_Table[[#This Row],[Month (Plan)]],OutupMonth_Table[#All],2,FALSE),""),"00")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Operator_Table" displayName="Operator_Table" ref="H1:H5" totalsRowShown="0" headerRowDxfId="9" dataDxfId="8" tableBorderDxfId="7" dataCellStyle="Percent">
  <tableColumns count="1">
    <tableColumn id="1" xr3:uid="{00000000-0010-0000-0300-000001000000}" name="Operator" dataDxfId="6" dataCellStyle="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hortages_Table" displayName="Shortages_Table" ref="J1:J4" totalsRowShown="0" headerRowBorderDxfId="5" tableBorderDxfId="4">
  <tableColumns count="1">
    <tableColumn id="1" xr3:uid="{00000000-0010-0000-0400-000001000000}" name="Shortag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Years_Table" displayName="Years_Table" ref="J7:J12" totalsRowShown="0" dataDxfId="3" tableBorderDxfId="2">
  <tableColumns count="1">
    <tableColumn id="1" xr3:uid="{00000000-0010-0000-0500-000001000000}" name="Year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OutupMonth_Table" displayName="OutupMonth_Table" ref="M1:N14" totalsRowShown="0" headerRowBorderDxfId="0" dataCellStyle="Accent5">
  <tableColumns count="2">
    <tableColumn id="1" xr3:uid="{00000000-0010-0000-0200-000001000000}" name="Output months" dataCellStyle="Accent5"/>
    <tableColumn id="2" xr3:uid="{00000000-0010-0000-0200-000002000000}" name="Output month no" dataCellStyle="Accent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110"/>
  <sheetViews>
    <sheetView tabSelected="1" zoomScale="80" zoomScaleNormal="80" zoomScaleSheetLayoutView="50" workbookViewId="0">
      <pane xSplit="1" ySplit="3" topLeftCell="E4" activePane="bottomRight" state="frozen"/>
      <selection pane="topRight" activeCell="B1" sqref="B1"/>
      <selection pane="bottomLeft" activeCell="A3" sqref="A3"/>
      <selection pane="bottomRight" activeCell="S4" sqref="S4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1" width="12.28515625" bestFit="1" customWidth="1"/>
    <col min="12" max="12" width="27.85546875" bestFit="1" customWidth="1"/>
    <col min="13" max="13" width="17.140625" bestFit="1" customWidth="1"/>
    <col min="14" max="14" width="32.5703125" customWidth="1"/>
    <col min="15" max="15" width="11.7109375" customWidth="1"/>
    <col min="16" max="16" width="13.7109375" customWidth="1"/>
    <col min="17" max="18" width="10.7109375" customWidth="1"/>
  </cols>
  <sheetData>
    <row r="1" spans="1:19" ht="36" x14ac:dyDescent="0.55000000000000004">
      <c r="A1" s="148" t="s">
        <v>206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24" t="s">
        <v>331</v>
      </c>
      <c r="O1" s="107" t="s">
        <v>303</v>
      </c>
      <c r="P1" s="106"/>
      <c r="Q1" s="106"/>
      <c r="R1" s="106"/>
    </row>
    <row r="2" spans="1:19" ht="44.25" customHeight="1" x14ac:dyDescent="0.4">
      <c r="A2" s="123"/>
      <c r="B2" s="61"/>
      <c r="C2" s="59"/>
      <c r="D2" s="59"/>
      <c r="E2" s="59"/>
      <c r="F2" s="59"/>
      <c r="G2" s="60"/>
      <c r="H2" s="145" t="s">
        <v>235</v>
      </c>
      <c r="I2" s="146"/>
      <c r="J2" s="146"/>
      <c r="K2" s="147"/>
      <c r="L2" s="63" t="s">
        <v>199</v>
      </c>
      <c r="M2" s="64">
        <f>SUM(Output_Table[Out qty])</f>
        <v>786</v>
      </c>
      <c r="N2" s="64"/>
      <c r="O2" s="142" t="s">
        <v>304</v>
      </c>
      <c r="P2" s="143"/>
      <c r="Q2" s="143"/>
      <c r="R2" s="144"/>
    </row>
    <row r="3" spans="1:19" ht="56.25" x14ac:dyDescent="0.3">
      <c r="A3" s="66" t="s">
        <v>7</v>
      </c>
      <c r="B3" s="2" t="s">
        <v>9</v>
      </c>
      <c r="C3" s="1" t="s">
        <v>1</v>
      </c>
      <c r="D3" s="1" t="s">
        <v>3</v>
      </c>
      <c r="E3" s="2" t="s">
        <v>12</v>
      </c>
      <c r="F3" s="46" t="s">
        <v>165</v>
      </c>
      <c r="G3" s="1" t="s">
        <v>2</v>
      </c>
      <c r="H3" s="52" t="s">
        <v>31</v>
      </c>
      <c r="I3" s="65" t="s">
        <v>215</v>
      </c>
      <c r="J3" s="65" t="s">
        <v>27</v>
      </c>
      <c r="K3" s="66" t="s">
        <v>10</v>
      </c>
      <c r="L3" s="1" t="s">
        <v>74</v>
      </c>
      <c r="M3" s="1" t="s">
        <v>29</v>
      </c>
      <c r="N3" s="2" t="s">
        <v>6</v>
      </c>
      <c r="O3" s="55" t="s">
        <v>244</v>
      </c>
      <c r="P3" s="56" t="s">
        <v>350</v>
      </c>
      <c r="Q3" s="56" t="s">
        <v>349</v>
      </c>
      <c r="R3" s="57" t="s">
        <v>351</v>
      </c>
      <c r="S3" s="128" t="s">
        <v>352</v>
      </c>
    </row>
    <row r="4" spans="1:19" ht="15" customHeight="1" x14ac:dyDescent="0.25">
      <c r="A4" s="67" t="s">
        <v>146</v>
      </c>
      <c r="B4" s="40">
        <v>43061</v>
      </c>
      <c r="C4">
        <v>8</v>
      </c>
      <c r="D4" s="32" t="s">
        <v>5</v>
      </c>
      <c r="E4" s="32"/>
      <c r="F4" s="32"/>
      <c r="G4" s="32" t="s">
        <v>42</v>
      </c>
      <c r="H4" s="75">
        <f>_xlfn.IFNA(VLOOKUP(Output_Table[[#This Row],[Progress]],ProgressCalculation_List,6,FALSE),"")</f>
        <v>1.0000000000000002</v>
      </c>
      <c r="I4" s="76"/>
      <c r="J4" s="78">
        <v>43105</v>
      </c>
      <c r="K4" s="79">
        <v>8</v>
      </c>
      <c r="L4" s="81"/>
      <c r="M4" s="44">
        <v>43075.520833333336</v>
      </c>
      <c r="N4" s="29"/>
      <c r="O4" s="54">
        <v>0</v>
      </c>
      <c r="P4" s="29">
        <v>0</v>
      </c>
      <c r="Q4" s="29" t="s">
        <v>90</v>
      </c>
      <c r="R4" s="53">
        <v>2018</v>
      </c>
      <c r="S4" s="32" t="str">
        <f>TEXT(_xlfn.IFNA(VLOOKUP(Output_Table[[#This Row],[Month (Plan)]],OutupMonth_Table[#All],2,FALSE),""),"00")</f>
        <v>01</v>
      </c>
    </row>
    <row r="5" spans="1:19" ht="15" customHeight="1" x14ac:dyDescent="0.25">
      <c r="A5" s="67" t="s">
        <v>148</v>
      </c>
      <c r="B5" s="40">
        <v>43069</v>
      </c>
      <c r="C5">
        <v>8</v>
      </c>
      <c r="D5" s="32" t="s">
        <v>5</v>
      </c>
      <c r="E5" s="32"/>
      <c r="F5" s="32"/>
      <c r="G5" s="32" t="s">
        <v>42</v>
      </c>
      <c r="H5" s="75">
        <f>_xlfn.IFNA(VLOOKUP(Output_Table[[#This Row],[Progress]],ProgressCalculation_List,6,FALSE),"")</f>
        <v>1.0000000000000002</v>
      </c>
      <c r="I5" s="76"/>
      <c r="J5" s="78">
        <v>43105</v>
      </c>
      <c r="K5" s="79">
        <v>8</v>
      </c>
      <c r="L5" s="81"/>
      <c r="M5" s="32"/>
      <c r="N5" s="29"/>
      <c r="O5" s="54"/>
      <c r="P5" s="29"/>
      <c r="Q5" s="29" t="s">
        <v>90</v>
      </c>
      <c r="R5" s="53">
        <v>2018</v>
      </c>
      <c r="S5" s="32" t="str">
        <f>TEXT(_xlfn.IFNA(VLOOKUP(Output_Table[[#This Row],[Month (Plan)]],OutupMonth_Table[#All],2,FALSE),""),"00")</f>
        <v>01</v>
      </c>
    </row>
    <row r="6" spans="1:19" ht="15" customHeight="1" x14ac:dyDescent="0.25">
      <c r="A6" s="67" t="s">
        <v>149</v>
      </c>
      <c r="B6" s="40">
        <v>43073</v>
      </c>
      <c r="C6">
        <v>8</v>
      </c>
      <c r="D6" s="32" t="s">
        <v>5</v>
      </c>
      <c r="E6" s="32" t="s">
        <v>152</v>
      </c>
      <c r="F6" s="40">
        <v>43076</v>
      </c>
      <c r="G6" s="32" t="s">
        <v>42</v>
      </c>
      <c r="H6" s="75">
        <f>_xlfn.IFNA(VLOOKUP(Output_Table[[#This Row],[Progress]],ProgressCalculation_List,6,FALSE),"")</f>
        <v>1.0000000000000002</v>
      </c>
      <c r="I6" s="76"/>
      <c r="J6" s="78">
        <v>43112</v>
      </c>
      <c r="K6" s="79">
        <v>8</v>
      </c>
      <c r="L6" s="81"/>
      <c r="M6" s="44">
        <v>43081.333333333336</v>
      </c>
      <c r="N6" s="29"/>
      <c r="O6" s="54"/>
      <c r="P6" s="29"/>
      <c r="Q6" s="29" t="s">
        <v>90</v>
      </c>
      <c r="R6" s="53">
        <v>2018</v>
      </c>
      <c r="S6" s="32" t="str">
        <f>TEXT(_xlfn.IFNA(VLOOKUP(Output_Table[[#This Row],[Month (Plan)]],OutupMonth_Table[#All],2,FALSE),""),"00")</f>
        <v>01</v>
      </c>
    </row>
    <row r="7" spans="1:19" ht="15" customHeight="1" x14ac:dyDescent="0.25">
      <c r="A7" s="67" t="s">
        <v>150</v>
      </c>
      <c r="B7" s="40">
        <v>43073</v>
      </c>
      <c r="C7">
        <v>8</v>
      </c>
      <c r="D7" s="32" t="s">
        <v>5</v>
      </c>
      <c r="E7" s="32" t="s">
        <v>153</v>
      </c>
      <c r="F7" s="40">
        <v>43076</v>
      </c>
      <c r="G7" s="32" t="s">
        <v>42</v>
      </c>
      <c r="H7" s="75">
        <f>_xlfn.IFNA(VLOOKUP(Output_Table[[#This Row],[Progress]],ProgressCalculation_List,6,FALSE),"")</f>
        <v>1.0000000000000002</v>
      </c>
      <c r="I7" s="76"/>
      <c r="J7" s="78">
        <v>43112</v>
      </c>
      <c r="K7" s="79">
        <v>8</v>
      </c>
      <c r="L7" s="81"/>
      <c r="M7" s="44">
        <v>43081.458333333336</v>
      </c>
      <c r="N7" s="29"/>
      <c r="O7" s="54"/>
      <c r="P7" s="29"/>
      <c r="Q7" s="29" t="s">
        <v>90</v>
      </c>
      <c r="R7" s="53">
        <v>2018</v>
      </c>
      <c r="S7" s="32" t="str">
        <f>TEXT(_xlfn.IFNA(VLOOKUP(Output_Table[[#This Row],[Month (Plan)]],OutupMonth_Table[#All],2,FALSE),""),"00")</f>
        <v>01</v>
      </c>
    </row>
    <row r="8" spans="1:19" ht="15" customHeight="1" x14ac:dyDescent="0.25">
      <c r="A8" s="67" t="s">
        <v>151</v>
      </c>
      <c r="B8" s="40">
        <v>43073</v>
      </c>
      <c r="C8">
        <v>8</v>
      </c>
      <c r="D8" s="32" t="s">
        <v>5</v>
      </c>
      <c r="E8" s="32" t="s">
        <v>153</v>
      </c>
      <c r="F8" s="40">
        <v>43076</v>
      </c>
      <c r="G8" s="32" t="s">
        <v>42</v>
      </c>
      <c r="H8" s="75">
        <f>_xlfn.IFNA(VLOOKUP(Output_Table[[#This Row],[Progress]],ProgressCalculation_List,6,FALSE),"")</f>
        <v>1.0000000000000002</v>
      </c>
      <c r="I8" s="76"/>
      <c r="J8" s="78">
        <v>43115</v>
      </c>
      <c r="K8" s="79">
        <v>8</v>
      </c>
      <c r="L8" s="81"/>
      <c r="M8" s="32"/>
      <c r="N8" s="29" t="s">
        <v>163</v>
      </c>
      <c r="O8" s="54"/>
      <c r="P8" s="29"/>
      <c r="Q8" s="29" t="s">
        <v>90</v>
      </c>
      <c r="R8" s="53">
        <v>2018</v>
      </c>
      <c r="S8" s="32" t="str">
        <f>TEXT(_xlfn.IFNA(VLOOKUP(Output_Table[[#This Row],[Month (Plan)]],OutupMonth_Table[#All],2,FALSE),""),"00")</f>
        <v>01</v>
      </c>
    </row>
    <row r="9" spans="1:19" ht="15" customHeight="1" x14ac:dyDescent="0.25">
      <c r="A9" s="67" t="s">
        <v>154</v>
      </c>
      <c r="B9" s="40">
        <v>43083</v>
      </c>
      <c r="C9">
        <v>8</v>
      </c>
      <c r="D9" s="32" t="s">
        <v>5</v>
      </c>
      <c r="E9" s="32"/>
      <c r="F9" s="32"/>
      <c r="G9" s="32" t="s">
        <v>42</v>
      </c>
      <c r="H9" s="75">
        <f>_xlfn.IFNA(VLOOKUP(Output_Table[[#This Row],[Progress]],ProgressCalculation_List,6,FALSE),"")</f>
        <v>1.0000000000000002</v>
      </c>
      <c r="I9" s="76"/>
      <c r="J9" s="78">
        <v>43117</v>
      </c>
      <c r="K9" s="79">
        <v>8</v>
      </c>
      <c r="L9" s="81"/>
      <c r="M9" s="44">
        <v>43102.673611111109</v>
      </c>
      <c r="N9" s="29" t="s">
        <v>166</v>
      </c>
      <c r="O9" s="54"/>
      <c r="P9" s="29"/>
      <c r="Q9" s="29" t="s">
        <v>90</v>
      </c>
      <c r="R9" s="53">
        <v>2018</v>
      </c>
      <c r="S9" s="32" t="str">
        <f>TEXT(_xlfn.IFNA(VLOOKUP(Output_Table[[#This Row],[Month (Plan)]],OutupMonth_Table[#All],2,FALSE),""),"00")</f>
        <v>01</v>
      </c>
    </row>
    <row r="10" spans="1:19" x14ac:dyDescent="0.25">
      <c r="A10" s="67" t="s">
        <v>157</v>
      </c>
      <c r="B10" s="40">
        <v>43088</v>
      </c>
      <c r="C10">
        <v>8</v>
      </c>
      <c r="D10" s="32" t="s">
        <v>5</v>
      </c>
      <c r="E10" s="32"/>
      <c r="F10" s="32"/>
      <c r="G10" s="32" t="s">
        <v>42</v>
      </c>
      <c r="H10" s="75">
        <f>_xlfn.IFNA(VLOOKUP(Output_Table[[#This Row],[Progress]],ProgressCalculation_List,6,FALSE),"")</f>
        <v>1.0000000000000002</v>
      </c>
      <c r="I10" s="76"/>
      <c r="J10" s="78">
        <v>43117</v>
      </c>
      <c r="K10" s="79">
        <v>8</v>
      </c>
      <c r="L10" s="81"/>
      <c r="M10" s="44">
        <v>43103.3125</v>
      </c>
      <c r="N10" s="53" t="s">
        <v>166</v>
      </c>
      <c r="O10" s="29"/>
      <c r="P10" s="29"/>
      <c r="Q10" s="29" t="s">
        <v>90</v>
      </c>
      <c r="R10" s="53">
        <v>2018</v>
      </c>
      <c r="S10" s="32" t="str">
        <f>TEXT(_xlfn.IFNA(VLOOKUP(Output_Table[[#This Row],[Month (Plan)]],OutupMonth_Table[#All],2,FALSE),""),"00")</f>
        <v>01</v>
      </c>
    </row>
    <row r="11" spans="1:19" x14ac:dyDescent="0.25">
      <c r="A11" s="67" t="s">
        <v>158</v>
      </c>
      <c r="B11" s="40">
        <v>43088</v>
      </c>
      <c r="C11">
        <v>8</v>
      </c>
      <c r="D11" s="32" t="s">
        <v>5</v>
      </c>
      <c r="E11" s="32"/>
      <c r="F11" s="32"/>
      <c r="G11" s="32" t="s">
        <v>42</v>
      </c>
      <c r="H11" s="75">
        <f>_xlfn.IFNA(VLOOKUP(Output_Table[[#This Row],[Progress]],ProgressCalculation_List,6,FALSE),"")</f>
        <v>1.0000000000000002</v>
      </c>
      <c r="I11" s="76"/>
      <c r="J11" s="78">
        <v>43123</v>
      </c>
      <c r="K11" s="79">
        <v>8</v>
      </c>
      <c r="L11" s="81"/>
      <c r="M11" s="32"/>
      <c r="N11" s="53"/>
      <c r="O11" s="29"/>
      <c r="P11" s="29"/>
      <c r="Q11" s="29" t="s">
        <v>90</v>
      </c>
      <c r="R11" s="53">
        <v>2018</v>
      </c>
      <c r="S11" s="32" t="str">
        <f>TEXT(_xlfn.IFNA(VLOOKUP(Output_Table[[#This Row],[Month (Plan)]],OutupMonth_Table[#All],2,FALSE),""),"00")</f>
        <v>01</v>
      </c>
    </row>
    <row r="12" spans="1:19" x14ac:dyDescent="0.25">
      <c r="A12" s="67" t="s">
        <v>159</v>
      </c>
      <c r="B12" s="40">
        <v>43089</v>
      </c>
      <c r="C12">
        <v>8</v>
      </c>
      <c r="D12" s="32" t="s">
        <v>5</v>
      </c>
      <c r="E12" s="32" t="s">
        <v>160</v>
      </c>
      <c r="F12" s="40">
        <v>43089</v>
      </c>
      <c r="G12" s="32" t="s">
        <v>42</v>
      </c>
      <c r="H12" s="75">
        <f>_xlfn.IFNA(VLOOKUP(Output_Table[[#This Row],[Progress]],ProgressCalculation_List,6,FALSE),"")</f>
        <v>1.0000000000000002</v>
      </c>
      <c r="I12" s="76"/>
      <c r="J12" s="78">
        <v>43126</v>
      </c>
      <c r="K12" s="79">
        <v>8</v>
      </c>
      <c r="L12" s="81"/>
      <c r="M12" s="44">
        <v>43111.333333333336</v>
      </c>
      <c r="N12" s="134" t="s">
        <v>172</v>
      </c>
      <c r="O12" s="29"/>
      <c r="P12" s="29"/>
      <c r="Q12" s="29" t="s">
        <v>90</v>
      </c>
      <c r="R12" s="53">
        <v>2018</v>
      </c>
      <c r="S12" s="32" t="str">
        <f>TEXT(_xlfn.IFNA(VLOOKUP(Output_Table[[#This Row],[Month (Plan)]],OutupMonth_Table[#All],2,FALSE),""),"00")</f>
        <v>01</v>
      </c>
    </row>
    <row r="13" spans="1:19" x14ac:dyDescent="0.25">
      <c r="A13" s="67" t="s">
        <v>161</v>
      </c>
      <c r="B13" s="40">
        <v>43089</v>
      </c>
      <c r="C13">
        <v>8</v>
      </c>
      <c r="D13" s="32" t="s">
        <v>5</v>
      </c>
      <c r="E13" s="32" t="s">
        <v>160</v>
      </c>
      <c r="F13" s="40">
        <v>43089</v>
      </c>
      <c r="G13" s="32" t="s">
        <v>42</v>
      </c>
      <c r="H13" s="75">
        <f>_xlfn.IFNA(VLOOKUP(Output_Table[[#This Row],[Progress]],ProgressCalculation_List,6,FALSE),"")</f>
        <v>1.0000000000000002</v>
      </c>
      <c r="I13" s="76"/>
      <c r="J13" s="78">
        <v>43131</v>
      </c>
      <c r="K13" s="79">
        <v>8</v>
      </c>
      <c r="L13" s="81"/>
      <c r="M13" s="44">
        <v>43111.645833333336</v>
      </c>
      <c r="N13" s="135"/>
      <c r="O13" s="29"/>
      <c r="P13" s="29"/>
      <c r="Q13" s="29" t="s">
        <v>90</v>
      </c>
      <c r="R13" s="53">
        <v>2018</v>
      </c>
      <c r="S13" s="32" t="str">
        <f>TEXT(_xlfn.IFNA(VLOOKUP(Output_Table[[#This Row],[Month (Plan)]],OutupMonth_Table[#All],2,FALSE),""),"00")</f>
        <v>01</v>
      </c>
    </row>
    <row r="14" spans="1:19" x14ac:dyDescent="0.25">
      <c r="A14" s="67"/>
      <c r="B14" s="40"/>
      <c r="C14" s="32"/>
      <c r="D14" s="32"/>
      <c r="E14" s="32"/>
      <c r="F14" s="32"/>
      <c r="G14" s="32" t="s">
        <v>176</v>
      </c>
      <c r="H14" s="75">
        <f>_xlfn.IFNA(VLOOKUP(Output_Table[[#This Row],[Progress]],ProgressCalculation_List,6,FALSE),"")</f>
        <v>0</v>
      </c>
      <c r="I14" s="76"/>
      <c r="J14" s="78"/>
      <c r="K14" s="79"/>
      <c r="L14" s="81"/>
      <c r="M14" s="32"/>
      <c r="N14" s="136" t="s">
        <v>184</v>
      </c>
      <c r="O14" s="29">
        <v>0</v>
      </c>
      <c r="P14" s="29">
        <v>0</v>
      </c>
      <c r="Q14" s="29" t="s">
        <v>93</v>
      </c>
      <c r="R14" s="53">
        <v>2018</v>
      </c>
      <c r="S14" s="32" t="str">
        <f>TEXT(_xlfn.IFNA(VLOOKUP(Output_Table[[#This Row],[Month (Plan)]],OutupMonth_Table[#All],2,FALSE),""),"00")</f>
        <v>04</v>
      </c>
    </row>
    <row r="15" spans="1:19" x14ac:dyDescent="0.25">
      <c r="A15" s="67"/>
      <c r="B15" s="40"/>
      <c r="C15" s="32"/>
      <c r="D15" s="32"/>
      <c r="E15" s="32"/>
      <c r="F15" s="32"/>
      <c r="G15" s="32" t="s">
        <v>176</v>
      </c>
      <c r="H15" s="75">
        <f>_xlfn.IFNA(VLOOKUP(Output_Table[[#This Row],[Progress]],ProgressCalculation_List,6,FALSE),"")</f>
        <v>0</v>
      </c>
      <c r="I15" s="76"/>
      <c r="J15" s="78"/>
      <c r="K15" s="79"/>
      <c r="L15" s="81"/>
      <c r="M15" s="32"/>
      <c r="N15" s="136" t="s">
        <v>184</v>
      </c>
      <c r="O15" s="29">
        <v>0</v>
      </c>
      <c r="P15" s="29">
        <v>0</v>
      </c>
      <c r="Q15" s="29" t="s">
        <v>94</v>
      </c>
      <c r="R15" s="53">
        <v>2018</v>
      </c>
      <c r="S15" s="32" t="str">
        <f>TEXT(_xlfn.IFNA(VLOOKUP(Output_Table[[#This Row],[Month (Plan)]],OutupMonth_Table[#All],2,FALSE),""),"00")</f>
        <v>05</v>
      </c>
    </row>
    <row r="16" spans="1:19" ht="30" x14ac:dyDescent="0.25">
      <c r="A16" s="67" t="s">
        <v>309</v>
      </c>
      <c r="B16" s="40">
        <v>43431</v>
      </c>
      <c r="C16" s="32">
        <v>8</v>
      </c>
      <c r="D16" s="32" t="s">
        <v>5</v>
      </c>
      <c r="E16" s="41" t="s">
        <v>313</v>
      </c>
      <c r="F16" s="86" t="s">
        <v>317</v>
      </c>
      <c r="G16" s="32" t="s">
        <v>42</v>
      </c>
      <c r="H16" s="75">
        <f>_xlfn.IFNA(VLOOKUP(Output_Table[[#This Row],[Progress]],ProgressCalculation_List,6,FALSE),"")</f>
        <v>1.0000000000000002</v>
      </c>
      <c r="I16" s="83" t="s">
        <v>217</v>
      </c>
      <c r="J16" s="84">
        <v>43468</v>
      </c>
      <c r="K16" s="79">
        <v>8</v>
      </c>
      <c r="L16" s="81"/>
      <c r="M16" s="44">
        <v>43444.645833333336</v>
      </c>
      <c r="N16" s="131" t="s">
        <v>327</v>
      </c>
      <c r="O16" s="50"/>
      <c r="P16" s="50"/>
      <c r="Q16" s="32" t="s">
        <v>90</v>
      </c>
      <c r="R16" s="53">
        <v>2019</v>
      </c>
      <c r="S16" s="32" t="str">
        <f>TEXT(_xlfn.IFNA(VLOOKUP(Output_Table[[#This Row],[Month (Plan)]],OutupMonth_Table[#All],2,FALSE),""),"00")</f>
        <v>01</v>
      </c>
    </row>
    <row r="17" spans="1:19" ht="45" x14ac:dyDescent="0.25">
      <c r="A17" s="67" t="s">
        <v>311</v>
      </c>
      <c r="B17" s="40">
        <v>43437</v>
      </c>
      <c r="C17" s="32">
        <v>8</v>
      </c>
      <c r="D17" s="32" t="s">
        <v>4</v>
      </c>
      <c r="E17" s="41" t="s">
        <v>312</v>
      </c>
      <c r="F17" s="86" t="s">
        <v>315</v>
      </c>
      <c r="G17" s="32" t="s">
        <v>42</v>
      </c>
      <c r="H17" s="75">
        <f>_xlfn.IFNA(VLOOKUP(Output_Table[[#This Row],[Progress]],ProgressCalculation_List,6,FALSE),"")</f>
        <v>1.0000000000000002</v>
      </c>
      <c r="I17" s="83" t="s">
        <v>217</v>
      </c>
      <c r="J17" s="84">
        <v>43474</v>
      </c>
      <c r="K17" s="79">
        <v>8</v>
      </c>
      <c r="L17" s="81"/>
      <c r="M17" s="44">
        <v>43445.5</v>
      </c>
      <c r="N17" s="53" t="s">
        <v>328</v>
      </c>
      <c r="O17" s="50"/>
      <c r="P17" s="50"/>
      <c r="Q17" s="32" t="s">
        <v>90</v>
      </c>
      <c r="R17" s="53">
        <v>2019</v>
      </c>
      <c r="S17" s="32" t="str">
        <f>TEXT(_xlfn.IFNA(VLOOKUP(Output_Table[[#This Row],[Month (Plan)]],OutupMonth_Table[#All],2,FALSE),""),"00")</f>
        <v>01</v>
      </c>
    </row>
    <row r="18" spans="1:19" ht="60" x14ac:dyDescent="0.25">
      <c r="A18" s="67" t="s">
        <v>314</v>
      </c>
      <c r="B18" s="40">
        <v>43438</v>
      </c>
      <c r="C18" s="32">
        <v>8</v>
      </c>
      <c r="D18" s="32" t="s">
        <v>5</v>
      </c>
      <c r="E18" s="41" t="s">
        <v>316</v>
      </c>
      <c r="F18" s="86" t="s">
        <v>318</v>
      </c>
      <c r="G18" s="32" t="s">
        <v>42</v>
      </c>
      <c r="H18" s="75">
        <f>_xlfn.IFNA(VLOOKUP(Output_Table[[#This Row],[Progress]],ProgressCalculation_List,6,FALSE),"")</f>
        <v>1.0000000000000002</v>
      </c>
      <c r="I18" s="83" t="s">
        <v>217</v>
      </c>
      <c r="J18" s="84">
        <v>43474</v>
      </c>
      <c r="K18" s="79">
        <v>8</v>
      </c>
      <c r="L18" s="118"/>
      <c r="M18" s="44">
        <v>43446.625</v>
      </c>
      <c r="N18" s="131" t="s">
        <v>328</v>
      </c>
      <c r="O18" s="50"/>
      <c r="P18" s="50"/>
      <c r="Q18" s="32" t="s">
        <v>90</v>
      </c>
      <c r="R18" s="53">
        <v>2019</v>
      </c>
      <c r="S18" s="32" t="str">
        <f>TEXT(_xlfn.IFNA(VLOOKUP(Output_Table[[#This Row],[Month (Plan)]],OutupMonth_Table[#All],2,FALSE),""),"00")</f>
        <v>01</v>
      </c>
    </row>
    <row r="19" spans="1:19" ht="27" customHeight="1" x14ac:dyDescent="0.25">
      <c r="A19" s="67" t="s">
        <v>321</v>
      </c>
      <c r="B19" s="40">
        <v>43453</v>
      </c>
      <c r="C19" s="32">
        <v>8</v>
      </c>
      <c r="D19" s="32" t="s">
        <v>4</v>
      </c>
      <c r="E19" s="41" t="s">
        <v>339</v>
      </c>
      <c r="F19" s="86" t="s">
        <v>341</v>
      </c>
      <c r="G19" s="32" t="s">
        <v>14</v>
      </c>
      <c r="H19" s="75">
        <f>_xlfn.IFNA(VLOOKUP(Output_Table[[#This Row],[Progress]],ProgressCalculation_List,6,FALSE),"")</f>
        <v>0.449438202247191</v>
      </c>
      <c r="I19" s="83" t="s">
        <v>217</v>
      </c>
      <c r="J19" s="84">
        <v>43483</v>
      </c>
      <c r="K19" s="79">
        <v>8</v>
      </c>
      <c r="L19" s="119"/>
      <c r="M19" s="32"/>
      <c r="N19" s="136"/>
      <c r="O19" s="50"/>
      <c r="P19" s="50"/>
      <c r="Q19" s="32" t="s">
        <v>90</v>
      </c>
      <c r="R19" s="53">
        <v>2019</v>
      </c>
      <c r="S19" s="32" t="str">
        <f>TEXT(_xlfn.IFNA(VLOOKUP(Output_Table[[#This Row],[Month (Plan)]],OutupMonth_Table[#All],2,FALSE),""),"00")</f>
        <v>01</v>
      </c>
    </row>
    <row r="20" spans="1:19" ht="45" x14ac:dyDescent="0.25">
      <c r="A20" s="67" t="s">
        <v>322</v>
      </c>
      <c r="B20" s="40">
        <v>43453</v>
      </c>
      <c r="C20" s="32">
        <v>8</v>
      </c>
      <c r="D20" s="32" t="s">
        <v>5</v>
      </c>
      <c r="E20" s="41" t="s">
        <v>323</v>
      </c>
      <c r="F20" s="40">
        <v>43452</v>
      </c>
      <c r="G20" s="32" t="s">
        <v>14</v>
      </c>
      <c r="H20" s="75">
        <f>_xlfn.IFNA(VLOOKUP(Output_Table[[#This Row],[Progress]],ProgressCalculation_List,6,FALSE),"")</f>
        <v>0.449438202247191</v>
      </c>
      <c r="I20" s="83" t="s">
        <v>217</v>
      </c>
      <c r="J20" s="84">
        <v>43483</v>
      </c>
      <c r="K20" s="79">
        <v>8</v>
      </c>
      <c r="L20" s="120"/>
      <c r="M20" s="44">
        <v>43467.541666666664</v>
      </c>
      <c r="N20" s="136"/>
      <c r="O20" s="50"/>
      <c r="P20" s="50"/>
      <c r="Q20" s="32" t="s">
        <v>90</v>
      </c>
      <c r="R20" s="53">
        <v>2019</v>
      </c>
      <c r="S20" s="32" t="str">
        <f>TEXT(_xlfn.IFNA(VLOOKUP(Output_Table[[#This Row],[Month (Plan)]],OutupMonth_Table[#All],2,FALSE),""),"00")</f>
        <v>01</v>
      </c>
    </row>
    <row r="21" spans="1:19" ht="60" x14ac:dyDescent="0.25">
      <c r="A21" s="67" t="s">
        <v>324</v>
      </c>
      <c r="B21" s="40">
        <v>43454</v>
      </c>
      <c r="C21" s="32">
        <v>8</v>
      </c>
      <c r="D21" s="32" t="s">
        <v>5</v>
      </c>
      <c r="E21" s="41" t="s">
        <v>325</v>
      </c>
      <c r="F21" s="86" t="s">
        <v>344</v>
      </c>
      <c r="G21" s="32" t="s">
        <v>18</v>
      </c>
      <c r="H21" s="75">
        <f>_xlfn.IFNA(VLOOKUP(Output_Table[[#This Row],[Progress]],ProgressCalculation_List,6,FALSE),"")</f>
        <v>0</v>
      </c>
      <c r="I21" s="83"/>
      <c r="J21" s="84">
        <v>43490</v>
      </c>
      <c r="K21" s="79"/>
      <c r="L21" s="81"/>
      <c r="M21" s="32"/>
      <c r="N21" s="136"/>
      <c r="O21" s="50"/>
      <c r="P21" s="50"/>
      <c r="Q21" s="32" t="s">
        <v>90</v>
      </c>
      <c r="R21" s="53">
        <v>2019</v>
      </c>
      <c r="S21" s="32" t="str">
        <f>TEXT(_xlfn.IFNA(VLOOKUP(Output_Table[[#This Row],[Month (Plan)]],OutupMonth_Table[#All],2,FALSE),""),"00")</f>
        <v>01</v>
      </c>
    </row>
    <row r="22" spans="1:19" ht="75" x14ac:dyDescent="0.25">
      <c r="A22" s="67" t="s">
        <v>326</v>
      </c>
      <c r="B22" s="40">
        <v>43454</v>
      </c>
      <c r="C22" s="32">
        <v>8</v>
      </c>
      <c r="D22" s="32" t="s">
        <v>5</v>
      </c>
      <c r="E22" s="41" t="s">
        <v>340</v>
      </c>
      <c r="F22" s="121" t="s">
        <v>345</v>
      </c>
      <c r="G22" s="32" t="s">
        <v>18</v>
      </c>
      <c r="H22" s="75">
        <f>_xlfn.IFNA(VLOOKUP(Output_Table[[#This Row],[Progress]],ProgressCalculation_List,6,FALSE),"")</f>
        <v>0</v>
      </c>
      <c r="I22" s="83"/>
      <c r="J22" s="84">
        <v>43490</v>
      </c>
      <c r="K22" s="79"/>
      <c r="L22" s="81"/>
      <c r="M22" s="32"/>
      <c r="N22" s="136"/>
      <c r="O22" s="50"/>
      <c r="P22" s="50"/>
      <c r="Q22" s="32" t="s">
        <v>91</v>
      </c>
      <c r="R22" s="53">
        <v>2019</v>
      </c>
      <c r="S22" s="32" t="str">
        <f>TEXT(_xlfn.IFNA(VLOOKUP(Output_Table[[#This Row],[Month (Plan)]],OutupMonth_Table[#All],2,FALSE),""),"00")</f>
        <v>02</v>
      </c>
    </row>
    <row r="23" spans="1:19" ht="30" x14ac:dyDescent="0.25">
      <c r="A23" s="67" t="s">
        <v>164</v>
      </c>
      <c r="B23" s="40">
        <v>43104</v>
      </c>
      <c r="C23" s="32">
        <v>8</v>
      </c>
      <c r="D23" s="32" t="s">
        <v>5</v>
      </c>
      <c r="E23" s="41" t="s">
        <v>178</v>
      </c>
      <c r="F23" s="45" t="s">
        <v>177</v>
      </c>
      <c r="G23" s="32" t="s">
        <v>42</v>
      </c>
      <c r="H23" s="75">
        <f>_xlfn.IFNA(VLOOKUP(Output_Table[[#This Row],[Progress]],ProgressCalculation_List,6,FALSE),"")</f>
        <v>1.0000000000000002</v>
      </c>
      <c r="I23" s="76"/>
      <c r="J23" s="78">
        <v>43133</v>
      </c>
      <c r="K23" s="79">
        <v>8</v>
      </c>
      <c r="L23" s="81"/>
      <c r="M23" s="44">
        <v>43123.4375</v>
      </c>
      <c r="N23" s="53" t="s">
        <v>173</v>
      </c>
      <c r="O23" s="29">
        <v>0</v>
      </c>
      <c r="P23" s="29">
        <v>0</v>
      </c>
      <c r="Q23" s="29" t="s">
        <v>91</v>
      </c>
      <c r="R23" s="53">
        <v>2018</v>
      </c>
      <c r="S23" s="32" t="str">
        <f>TEXT(_xlfn.IFNA(VLOOKUP(Output_Table[[#This Row],[Month (Plan)]],OutupMonth_Table[#All],2,FALSE),""),"00")</f>
        <v>02</v>
      </c>
    </row>
    <row r="24" spans="1:19" ht="75" x14ac:dyDescent="0.25">
      <c r="A24" s="67" t="s">
        <v>141</v>
      </c>
      <c r="B24" s="40">
        <v>43039</v>
      </c>
      <c r="C24" s="32">
        <v>8</v>
      </c>
      <c r="D24" s="32" t="s">
        <v>5</v>
      </c>
      <c r="E24" s="32"/>
      <c r="F24" s="32"/>
      <c r="G24" s="32" t="s">
        <v>42</v>
      </c>
      <c r="H24" s="75">
        <f>_xlfn.IFNA(VLOOKUP(Output_Table[[#This Row],[Progress]],ProgressCalculation_List,6,FALSE),"")</f>
        <v>1.0000000000000002</v>
      </c>
      <c r="I24" s="76"/>
      <c r="J24" s="78">
        <v>43133</v>
      </c>
      <c r="K24" s="79">
        <v>1</v>
      </c>
      <c r="L24" s="81"/>
      <c r="M24" s="44">
        <v>43122.333333333336</v>
      </c>
      <c r="N24" s="53" t="s">
        <v>173</v>
      </c>
      <c r="O24" s="29"/>
      <c r="P24" s="29"/>
      <c r="Q24" s="29" t="s">
        <v>91</v>
      </c>
      <c r="R24" s="53">
        <v>2018</v>
      </c>
      <c r="S24" s="32" t="str">
        <f>TEXT(_xlfn.IFNA(VLOOKUP(Output_Table[[#This Row],[Month (Plan)]],OutupMonth_Table[#All],2,FALSE),""),"00")</f>
        <v>02</v>
      </c>
    </row>
    <row r="25" spans="1:19" ht="60" x14ac:dyDescent="0.25">
      <c r="A25" s="70" t="s">
        <v>167</v>
      </c>
      <c r="B25" s="139">
        <v>43123</v>
      </c>
      <c r="C25" s="141">
        <v>8</v>
      </c>
      <c r="D25" s="32" t="s">
        <v>5</v>
      </c>
      <c r="E25" s="32"/>
      <c r="F25" s="32"/>
      <c r="G25" s="32" t="s">
        <v>42</v>
      </c>
      <c r="H25" s="75">
        <f>_xlfn.IFNA(VLOOKUP(Output_Table[[#This Row],[Progress]],ProgressCalculation_List,6,FALSE),"")</f>
        <v>1.0000000000000002</v>
      </c>
      <c r="I25" s="76"/>
      <c r="J25" s="78">
        <v>43140</v>
      </c>
      <c r="K25" s="79">
        <v>8</v>
      </c>
      <c r="L25" s="81"/>
      <c r="M25" s="44">
        <v>43124.489583333336</v>
      </c>
      <c r="N25" s="53"/>
      <c r="O25" s="29"/>
      <c r="P25" s="29"/>
      <c r="Q25" s="29" t="s">
        <v>91</v>
      </c>
      <c r="R25" s="53">
        <v>2018</v>
      </c>
      <c r="S25" s="32" t="str">
        <f>TEXT(_xlfn.IFNA(VLOOKUP(Output_Table[[#This Row],[Month (Plan)]],OutupMonth_Table[#All],2,FALSE),""),"00")</f>
        <v>02</v>
      </c>
    </row>
    <row r="26" spans="1:19" ht="122.25" customHeight="1" x14ac:dyDescent="0.25">
      <c r="A26" s="67" t="s">
        <v>168</v>
      </c>
      <c r="B26" s="40">
        <v>43123</v>
      </c>
      <c r="C26" s="32">
        <v>8</v>
      </c>
      <c r="D26" s="32" t="s">
        <v>5</v>
      </c>
      <c r="E26" s="32" t="s">
        <v>169</v>
      </c>
      <c r="F26" s="40">
        <v>43124</v>
      </c>
      <c r="G26" s="32" t="s">
        <v>42</v>
      </c>
      <c r="H26" s="75">
        <f>_xlfn.IFNA(VLOOKUP(Output_Table[[#This Row],[Progress]],ProgressCalculation_List,6,FALSE),"")</f>
        <v>1.0000000000000002</v>
      </c>
      <c r="I26" s="76"/>
      <c r="J26" s="78">
        <v>43140</v>
      </c>
      <c r="K26" s="79">
        <v>8</v>
      </c>
      <c r="L26" s="81"/>
      <c r="M26" s="44">
        <v>43125.416666666664</v>
      </c>
      <c r="N26" s="53"/>
      <c r="O26" s="29"/>
      <c r="P26" s="29"/>
      <c r="Q26" s="29" t="s">
        <v>91</v>
      </c>
      <c r="R26" s="53">
        <v>2018</v>
      </c>
      <c r="S26" s="32" t="str">
        <f>TEXT(_xlfn.IFNA(VLOOKUP(Output_Table[[#This Row],[Month (Plan)]],OutupMonth_Table[#All],2,FALSE),""),"00")</f>
        <v>02</v>
      </c>
    </row>
    <row r="27" spans="1:19" ht="180" x14ac:dyDescent="0.25">
      <c r="A27" s="67" t="s">
        <v>170</v>
      </c>
      <c r="B27" s="40">
        <v>43125</v>
      </c>
      <c r="C27" s="32">
        <v>8</v>
      </c>
      <c r="D27" s="32" t="s">
        <v>5</v>
      </c>
      <c r="E27" s="32"/>
      <c r="F27" s="32"/>
      <c r="G27" s="32" t="s">
        <v>42</v>
      </c>
      <c r="H27" s="75">
        <f>_xlfn.IFNA(VLOOKUP(Output_Table[[#This Row],[Progress]],ProgressCalculation_List,6,FALSE),"")</f>
        <v>1.0000000000000002</v>
      </c>
      <c r="I27" s="76"/>
      <c r="J27" s="78">
        <v>43147</v>
      </c>
      <c r="K27" s="79">
        <v>8</v>
      </c>
      <c r="L27" s="81"/>
      <c r="M27" s="44">
        <v>43129.65625</v>
      </c>
      <c r="N27" s="53"/>
      <c r="O27" s="29"/>
      <c r="P27" s="29"/>
      <c r="Q27" s="29" t="s">
        <v>91</v>
      </c>
      <c r="R27" s="53">
        <v>2018</v>
      </c>
      <c r="S27" s="32" t="str">
        <f>TEXT(_xlfn.IFNA(VLOOKUP(Output_Table[[#This Row],[Month (Plan)]],OutupMonth_Table[#All],2,FALSE),""),"00")</f>
        <v>02</v>
      </c>
    </row>
    <row r="28" spans="1:19" x14ac:dyDescent="0.25">
      <c r="A28" s="67" t="s">
        <v>174</v>
      </c>
      <c r="B28" s="40">
        <v>43130</v>
      </c>
      <c r="C28" s="32">
        <v>8</v>
      </c>
      <c r="D28" s="32" t="s">
        <v>5</v>
      </c>
      <c r="E28" s="32" t="s">
        <v>180</v>
      </c>
      <c r="F28" s="40">
        <v>43136</v>
      </c>
      <c r="G28" s="32" t="s">
        <v>42</v>
      </c>
      <c r="H28" s="75">
        <f>_xlfn.IFNA(VLOOKUP(Output_Table[[#This Row],[Progress]],ProgressCalculation_List,6,FALSE),"")</f>
        <v>1.0000000000000002</v>
      </c>
      <c r="I28" s="76"/>
      <c r="J28" s="78">
        <v>43147</v>
      </c>
      <c r="K28" s="79">
        <v>8</v>
      </c>
      <c r="L28" s="81"/>
      <c r="M28" s="44">
        <v>43130.65625</v>
      </c>
      <c r="N28" s="53"/>
      <c r="O28" s="29"/>
      <c r="P28" s="29"/>
      <c r="Q28" s="29" t="s">
        <v>91</v>
      </c>
      <c r="R28" s="53">
        <v>2018</v>
      </c>
      <c r="S28" s="32" t="str">
        <f>TEXT(_xlfn.IFNA(VLOOKUP(Output_Table[[#This Row],[Month (Plan)]],OutupMonth_Table[#All],2,FALSE),""),"00")</f>
        <v>02</v>
      </c>
    </row>
    <row r="29" spans="1:19" ht="45" x14ac:dyDescent="0.25">
      <c r="A29" s="67" t="s">
        <v>175</v>
      </c>
      <c r="B29" s="40">
        <v>43130</v>
      </c>
      <c r="C29" s="32">
        <v>8</v>
      </c>
      <c r="D29" s="32" t="s">
        <v>5</v>
      </c>
      <c r="E29" s="32" t="s">
        <v>179</v>
      </c>
      <c r="F29" s="40">
        <v>43136</v>
      </c>
      <c r="G29" s="32" t="s">
        <v>42</v>
      </c>
      <c r="H29" s="75">
        <f>_xlfn.IFNA(VLOOKUP(Output_Table[[#This Row],[Progress]],ProgressCalculation_List,6,FALSE),"")</f>
        <v>1.0000000000000002</v>
      </c>
      <c r="I29" s="76"/>
      <c r="J29" s="78">
        <v>43147</v>
      </c>
      <c r="K29" s="79">
        <v>7</v>
      </c>
      <c r="L29" s="35" t="s">
        <v>182</v>
      </c>
      <c r="M29" s="44">
        <v>43133.5</v>
      </c>
      <c r="N29" s="53"/>
      <c r="O29" s="29">
        <v>0</v>
      </c>
      <c r="P29" s="29">
        <v>0</v>
      </c>
      <c r="Q29" s="29" t="s">
        <v>92</v>
      </c>
      <c r="R29" s="53">
        <v>2018</v>
      </c>
      <c r="S29" s="32" t="str">
        <f>TEXT(_xlfn.IFNA(VLOOKUP(Output_Table[[#This Row],[Month (Plan)]],OutupMonth_Table[#All],2,FALSE),""),"00")</f>
        <v>03</v>
      </c>
    </row>
    <row r="30" spans="1:19" x14ac:dyDescent="0.25">
      <c r="A30" s="67" t="s">
        <v>181</v>
      </c>
      <c r="B30" s="40">
        <v>43138</v>
      </c>
      <c r="C30" s="32">
        <v>8</v>
      </c>
      <c r="D30" s="32" t="s">
        <v>5</v>
      </c>
      <c r="E30" s="32"/>
      <c r="F30" s="32"/>
      <c r="G30" s="32" t="s">
        <v>42</v>
      </c>
      <c r="H30" s="75">
        <f>_xlfn.IFNA(VLOOKUP(Output_Table[[#This Row],[Progress]],ProgressCalculation_List,6,FALSE),"")</f>
        <v>1.0000000000000002</v>
      </c>
      <c r="I30" s="76"/>
      <c r="J30" s="78">
        <v>43154</v>
      </c>
      <c r="K30" s="79">
        <v>8</v>
      </c>
      <c r="L30" s="81"/>
      <c r="M30" s="44">
        <v>43139.585416666669</v>
      </c>
      <c r="N30" s="53"/>
      <c r="O30" s="29"/>
      <c r="P30" s="29"/>
      <c r="Q30" s="29" t="s">
        <v>92</v>
      </c>
      <c r="R30" s="53">
        <v>2018</v>
      </c>
      <c r="S30" s="32" t="str">
        <f>TEXT(_xlfn.IFNA(VLOOKUP(Output_Table[[#This Row],[Month (Plan)]],OutupMonth_Table[#All],2,FALSE),""),"00")</f>
        <v>03</v>
      </c>
    </row>
    <row r="31" spans="1:19" x14ac:dyDescent="0.25">
      <c r="A31" s="67" t="s">
        <v>342</v>
      </c>
      <c r="B31" s="40">
        <v>43472</v>
      </c>
      <c r="C31" s="32">
        <v>8</v>
      </c>
      <c r="D31" s="32" t="s">
        <v>5</v>
      </c>
      <c r="E31" s="32" t="s">
        <v>343</v>
      </c>
      <c r="F31" s="40">
        <v>43472</v>
      </c>
      <c r="G31" s="32" t="s">
        <v>18</v>
      </c>
      <c r="H31" s="75">
        <f>_xlfn.IFNA(VLOOKUP(Output_Table[[#This Row],[Progress]],ProgressCalculation_List,6,FALSE),"")</f>
        <v>0</v>
      </c>
      <c r="I31" s="83"/>
      <c r="J31" s="84">
        <v>43497</v>
      </c>
      <c r="K31" s="79"/>
      <c r="L31" s="81"/>
      <c r="M31" s="32"/>
      <c r="N31" s="53"/>
      <c r="O31" s="50"/>
      <c r="P31" s="50"/>
      <c r="Q31" s="32" t="s">
        <v>91</v>
      </c>
      <c r="R31" s="53">
        <v>2019</v>
      </c>
      <c r="S31" s="32" t="str">
        <f>TEXT(_xlfn.IFNA(VLOOKUP(Output_Table[[#This Row],[Month (Plan)]],OutupMonth_Table[#All],2,FALSE),""),"00")</f>
        <v>02</v>
      </c>
    </row>
    <row r="32" spans="1:19" ht="45" x14ac:dyDescent="0.25">
      <c r="A32" s="67" t="s">
        <v>347</v>
      </c>
      <c r="B32" s="40">
        <v>43472</v>
      </c>
      <c r="C32" s="32">
        <v>8</v>
      </c>
      <c r="D32" s="32" t="s">
        <v>5</v>
      </c>
      <c r="E32" s="41" t="s">
        <v>346</v>
      </c>
      <c r="F32" s="121" t="s">
        <v>348</v>
      </c>
      <c r="G32" s="32" t="s">
        <v>18</v>
      </c>
      <c r="H32" s="75">
        <f>_xlfn.IFNA(VLOOKUP(Output_Table[[#This Row],[Progress]],ProgressCalculation_List,6,FALSE),"")</f>
        <v>0</v>
      </c>
      <c r="I32" s="83"/>
      <c r="J32" s="84">
        <v>43497</v>
      </c>
      <c r="K32" s="79"/>
      <c r="L32" s="81"/>
      <c r="M32" s="32"/>
      <c r="N32" s="53"/>
      <c r="O32" s="50"/>
      <c r="P32" s="50"/>
      <c r="Q32" s="32" t="s">
        <v>91</v>
      </c>
      <c r="R32" s="53">
        <v>2019</v>
      </c>
      <c r="S32" s="32" t="str">
        <f>TEXT(_xlfn.IFNA(VLOOKUP(Output_Table[[#This Row],[Month (Plan)]],OutupMonth_Table[#All],2,FALSE),""),"00")</f>
        <v>02</v>
      </c>
    </row>
    <row r="33" spans="1:19" ht="60" x14ac:dyDescent="0.25">
      <c r="A33" s="67" t="s">
        <v>183</v>
      </c>
      <c r="B33" s="40">
        <v>43223</v>
      </c>
      <c r="C33" s="32">
        <v>8</v>
      </c>
      <c r="D33" s="32" t="s">
        <v>5</v>
      </c>
      <c r="E33" s="32"/>
      <c r="F33" s="32"/>
      <c r="G33" s="32" t="s">
        <v>42</v>
      </c>
      <c r="H33" s="75">
        <f>_xlfn.IFNA(VLOOKUP(Output_Table[[#This Row],[Progress]],ProgressCalculation_List,6,FALSE),"")</f>
        <v>1.0000000000000002</v>
      </c>
      <c r="I33" s="76" t="s">
        <v>217</v>
      </c>
      <c r="J33" s="78">
        <v>43257</v>
      </c>
      <c r="K33" s="79">
        <v>8</v>
      </c>
      <c r="L33" s="81"/>
      <c r="M33" s="44">
        <v>43243.493055555555</v>
      </c>
      <c r="N33" s="131" t="s">
        <v>188</v>
      </c>
      <c r="O33" s="29">
        <v>0</v>
      </c>
      <c r="P33" s="29">
        <v>0</v>
      </c>
      <c r="Q33" s="29" t="s">
        <v>95</v>
      </c>
      <c r="R33" s="53">
        <v>2018</v>
      </c>
      <c r="S33" s="32" t="str">
        <f>TEXT(_xlfn.IFNA(VLOOKUP(Output_Table[[#This Row],[Month (Plan)]],OutupMonth_Table[#All],2,FALSE),""),"00")</f>
        <v>06</v>
      </c>
    </row>
    <row r="34" spans="1:19" x14ac:dyDescent="0.25">
      <c r="A34" s="67" t="s">
        <v>185</v>
      </c>
      <c r="B34" s="40">
        <v>43249</v>
      </c>
      <c r="C34" s="32">
        <v>8</v>
      </c>
      <c r="D34" s="32" t="s">
        <v>5</v>
      </c>
      <c r="E34" s="32" t="s">
        <v>189</v>
      </c>
      <c r="F34" s="40">
        <v>43250</v>
      </c>
      <c r="G34" s="32" t="s">
        <v>42</v>
      </c>
      <c r="H34" s="75">
        <f>_xlfn.IFNA(VLOOKUP(Output_Table[[#This Row],[Progress]],ProgressCalculation_List,6,FALSE),"")</f>
        <v>1.0000000000000002</v>
      </c>
      <c r="I34" s="76" t="s">
        <v>217</v>
      </c>
      <c r="J34" s="78">
        <v>43266</v>
      </c>
      <c r="K34" s="79">
        <v>8</v>
      </c>
      <c r="L34" s="81"/>
      <c r="M34" s="44">
        <v>43252.5</v>
      </c>
      <c r="N34" s="53"/>
      <c r="O34" s="29"/>
      <c r="P34" s="29"/>
      <c r="Q34" s="29" t="s">
        <v>95</v>
      </c>
      <c r="R34" s="53">
        <v>2018</v>
      </c>
      <c r="S34" s="32" t="str">
        <f>TEXT(_xlfn.IFNA(VLOOKUP(Output_Table[[#This Row],[Month (Plan)]],OutupMonth_Table[#All],2,FALSE),""),"00")</f>
        <v>06</v>
      </c>
    </row>
    <row r="35" spans="1:19" x14ac:dyDescent="0.25">
      <c r="A35" s="67" t="s">
        <v>186</v>
      </c>
      <c r="B35" s="40">
        <v>43249</v>
      </c>
      <c r="C35" s="32">
        <v>8</v>
      </c>
      <c r="D35" s="32" t="s">
        <v>5</v>
      </c>
      <c r="E35" s="32" t="s">
        <v>192</v>
      </c>
      <c r="F35" s="32"/>
      <c r="G35" s="32" t="s">
        <v>42</v>
      </c>
      <c r="H35" s="75">
        <f>_xlfn.IFNA(VLOOKUP(Output_Table[[#This Row],[Progress]],ProgressCalculation_List,6,FALSE),"")</f>
        <v>1.0000000000000002</v>
      </c>
      <c r="I35" s="76" t="s">
        <v>217</v>
      </c>
      <c r="J35" s="78">
        <v>43273</v>
      </c>
      <c r="K35" s="79">
        <v>8</v>
      </c>
      <c r="L35" s="81"/>
      <c r="M35" s="44">
        <v>43259.5</v>
      </c>
      <c r="N35" s="53"/>
      <c r="O35" s="29">
        <v>0</v>
      </c>
      <c r="P35" s="29">
        <v>0</v>
      </c>
      <c r="Q35" s="29" t="s">
        <v>96</v>
      </c>
      <c r="R35" s="53">
        <v>2018</v>
      </c>
      <c r="S35" s="32" t="str">
        <f>TEXT(_xlfn.IFNA(VLOOKUP(Output_Table[[#This Row],[Month (Plan)]],OutupMonth_Table[#All],2,FALSE),""),"00")</f>
        <v>07</v>
      </c>
    </row>
    <row r="36" spans="1:19" x14ac:dyDescent="0.25">
      <c r="A36" s="67" t="s">
        <v>105</v>
      </c>
      <c r="B36" s="40">
        <v>42935</v>
      </c>
      <c r="C36" s="32">
        <v>8</v>
      </c>
      <c r="D36" s="32" t="s">
        <v>5</v>
      </c>
      <c r="E36" s="32"/>
      <c r="F36" s="32"/>
      <c r="G36" s="32" t="s">
        <v>42</v>
      </c>
      <c r="H36" s="75">
        <f>_xlfn.IFNA(VLOOKUP(Output_Table[[#This Row],[Progress]],ProgressCalculation_List,6,FALSE),"")</f>
        <v>1.0000000000000002</v>
      </c>
      <c r="I36" s="76"/>
      <c r="J36" s="78">
        <v>42946</v>
      </c>
      <c r="K36" s="79">
        <v>8</v>
      </c>
      <c r="L36" s="81"/>
      <c r="M36" s="32"/>
      <c r="N36" s="53"/>
      <c r="O36" s="29">
        <v>0</v>
      </c>
      <c r="P36" s="29">
        <v>0</v>
      </c>
      <c r="Q36" s="29" t="s">
        <v>96</v>
      </c>
      <c r="R36" s="62">
        <v>2017</v>
      </c>
      <c r="S36" s="32" t="str">
        <f>TEXT(_xlfn.IFNA(VLOOKUP(Output_Table[[#This Row],[Month (Plan)]],OutupMonth_Table[#All],2,FALSE),""),"00")</f>
        <v>07</v>
      </c>
    </row>
    <row r="37" spans="1:19" x14ac:dyDescent="0.25">
      <c r="A37" s="67" t="s">
        <v>107</v>
      </c>
      <c r="B37" s="40">
        <v>42934</v>
      </c>
      <c r="C37" s="32">
        <v>8</v>
      </c>
      <c r="D37" s="32" t="s">
        <v>5</v>
      </c>
      <c r="E37" s="32"/>
      <c r="F37" s="32"/>
      <c r="G37" s="32" t="s">
        <v>42</v>
      </c>
      <c r="H37" s="75">
        <f>_xlfn.IFNA(VLOOKUP(Output_Table[[#This Row],[Progress]],ProgressCalculation_List,6,FALSE),"")</f>
        <v>1.0000000000000002</v>
      </c>
      <c r="I37" s="76"/>
      <c r="J37" s="78">
        <v>42946</v>
      </c>
      <c r="K37" s="79">
        <v>8</v>
      </c>
      <c r="L37" s="81"/>
      <c r="M37" s="32"/>
      <c r="N37" s="53"/>
      <c r="O37" s="29"/>
      <c r="P37" s="29"/>
      <c r="Q37" s="29" t="s">
        <v>96</v>
      </c>
      <c r="R37" s="53">
        <v>2017</v>
      </c>
      <c r="S37" s="32" t="str">
        <f>TEXT(_xlfn.IFNA(VLOOKUP(Output_Table[[#This Row],[Month (Plan)]],OutupMonth_Table[#All],2,FALSE),""),"00")</f>
        <v>07</v>
      </c>
    </row>
    <row r="38" spans="1:19" x14ac:dyDescent="0.25">
      <c r="A38" s="67" t="s">
        <v>8</v>
      </c>
      <c r="B38" s="40">
        <v>42934</v>
      </c>
      <c r="C38" s="32">
        <v>8</v>
      </c>
      <c r="D38" s="32" t="s">
        <v>5</v>
      </c>
      <c r="E38" s="32"/>
      <c r="F38" s="32"/>
      <c r="G38" s="32" t="s">
        <v>42</v>
      </c>
      <c r="H38" s="75">
        <f>_xlfn.IFNA(VLOOKUP(Output_Table[[#This Row],[Progress]],ProgressCalculation_List,6,FALSE),"")</f>
        <v>1.0000000000000002</v>
      </c>
      <c r="I38" s="76"/>
      <c r="J38" s="78">
        <v>42946</v>
      </c>
      <c r="K38" s="79">
        <v>8</v>
      </c>
      <c r="L38" s="81"/>
      <c r="M38" s="32"/>
      <c r="N38" s="131"/>
      <c r="O38" s="29"/>
      <c r="P38" s="29"/>
      <c r="Q38" s="29" t="s">
        <v>96</v>
      </c>
      <c r="R38" s="53">
        <v>2017</v>
      </c>
      <c r="S38" s="32" t="str">
        <f>TEXT(_xlfn.IFNA(VLOOKUP(Output_Table[[#This Row],[Month (Plan)]],OutupMonth_Table[#All],2,FALSE),""),"00")</f>
        <v>07</v>
      </c>
    </row>
    <row r="39" spans="1:19" x14ac:dyDescent="0.25">
      <c r="A39" s="67" t="s">
        <v>108</v>
      </c>
      <c r="B39" s="40">
        <v>42933</v>
      </c>
      <c r="C39" s="32">
        <v>8</v>
      </c>
      <c r="D39" s="32" t="s">
        <v>5</v>
      </c>
      <c r="E39" s="32"/>
      <c r="F39" s="32"/>
      <c r="G39" s="32" t="s">
        <v>42</v>
      </c>
      <c r="H39" s="75">
        <f>_xlfn.IFNA(VLOOKUP(Output_Table[[#This Row],[Progress]],ProgressCalculation_List,6,FALSE),"")</f>
        <v>1.0000000000000002</v>
      </c>
      <c r="I39" s="76"/>
      <c r="J39" s="78">
        <v>42946</v>
      </c>
      <c r="K39" s="79">
        <v>8</v>
      </c>
      <c r="L39" s="81"/>
      <c r="M39" s="32"/>
      <c r="N39" s="53"/>
      <c r="O39" s="29"/>
      <c r="P39" s="29"/>
      <c r="Q39" s="29" t="s">
        <v>96</v>
      </c>
      <c r="R39" s="53">
        <v>2017</v>
      </c>
      <c r="S39" s="32" t="str">
        <f>TEXT(_xlfn.IFNA(VLOOKUP(Output_Table[[#This Row],[Month (Plan)]],OutupMonth_Table[#All],2,FALSE),""),"00")</f>
        <v>07</v>
      </c>
    </row>
    <row r="40" spans="1:19" x14ac:dyDescent="0.25">
      <c r="A40" s="67" t="s">
        <v>109</v>
      </c>
      <c r="B40" s="40">
        <v>42933</v>
      </c>
      <c r="C40" s="32">
        <v>8</v>
      </c>
      <c r="D40" s="32" t="s">
        <v>5</v>
      </c>
      <c r="E40" s="32"/>
      <c r="F40" s="32"/>
      <c r="G40" s="32" t="s">
        <v>42</v>
      </c>
      <c r="H40" s="75">
        <f>_xlfn.IFNA(VLOOKUP(Output_Table[[#This Row],[Progress]],ProgressCalculation_List,6,FALSE),"")</f>
        <v>1.0000000000000002</v>
      </c>
      <c r="I40" s="76"/>
      <c r="J40" s="78">
        <v>42946</v>
      </c>
      <c r="K40" s="79">
        <v>7</v>
      </c>
      <c r="L40" s="82" t="s">
        <v>201</v>
      </c>
      <c r="M40" s="32"/>
      <c r="N40" s="53"/>
      <c r="O40" s="29"/>
      <c r="P40" s="29"/>
      <c r="Q40" s="29" t="s">
        <v>96</v>
      </c>
      <c r="R40" s="53">
        <v>2017</v>
      </c>
      <c r="S40" s="32" t="str">
        <f>TEXT(_xlfn.IFNA(VLOOKUP(Output_Table[[#This Row],[Month (Plan)]],OutupMonth_Table[#All],2,FALSE),""),"00")</f>
        <v>07</v>
      </c>
    </row>
    <row r="41" spans="1:19" x14ac:dyDescent="0.25">
      <c r="A41" s="67" t="s">
        <v>110</v>
      </c>
      <c r="B41" s="40">
        <v>42933</v>
      </c>
      <c r="C41" s="32">
        <v>8</v>
      </c>
      <c r="D41" s="32" t="s">
        <v>5</v>
      </c>
      <c r="E41" s="32"/>
      <c r="F41" s="32"/>
      <c r="G41" s="32" t="s">
        <v>42</v>
      </c>
      <c r="H41" s="75">
        <f>_xlfn.IFNA(VLOOKUP(Output_Table[[#This Row],[Progress]],ProgressCalculation_List,6,FALSE),"")</f>
        <v>1.0000000000000002</v>
      </c>
      <c r="I41" s="76"/>
      <c r="J41" s="78">
        <v>42946</v>
      </c>
      <c r="K41" s="79">
        <v>8</v>
      </c>
      <c r="L41" s="81"/>
      <c r="M41" s="32"/>
      <c r="N41" s="53"/>
      <c r="O41" s="29"/>
      <c r="P41" s="29"/>
      <c r="Q41" s="29" t="s">
        <v>96</v>
      </c>
      <c r="R41" s="53">
        <v>2017</v>
      </c>
      <c r="S41" s="32" t="str">
        <f>TEXT(_xlfn.IFNA(VLOOKUP(Output_Table[[#This Row],[Month (Plan)]],OutupMonth_Table[#All],2,FALSE),""),"00")</f>
        <v>07</v>
      </c>
    </row>
    <row r="42" spans="1:19" x14ac:dyDescent="0.25">
      <c r="A42" s="68" t="s">
        <v>106</v>
      </c>
      <c r="B42" s="42">
        <v>42935</v>
      </c>
      <c r="C42" s="33">
        <v>8</v>
      </c>
      <c r="D42" s="32" t="s">
        <v>5</v>
      </c>
      <c r="E42" s="32" t="s">
        <v>13</v>
      </c>
      <c r="F42" s="43" t="s">
        <v>28</v>
      </c>
      <c r="G42" s="32" t="s">
        <v>42</v>
      </c>
      <c r="H42" s="75">
        <f>_xlfn.IFNA(VLOOKUP(Output_Table[[#This Row],[Progress]],ProgressCalculation_List,6,FALSE),"")</f>
        <v>1.0000000000000002</v>
      </c>
      <c r="I42" s="76"/>
      <c r="J42" s="78">
        <v>42951</v>
      </c>
      <c r="K42" s="79">
        <v>7</v>
      </c>
      <c r="L42" s="81"/>
      <c r="M42" s="32"/>
      <c r="N42" s="129" t="s">
        <v>203</v>
      </c>
      <c r="O42" s="29"/>
      <c r="P42" s="29"/>
      <c r="Q42" s="29" t="s">
        <v>96</v>
      </c>
      <c r="R42" s="53">
        <v>2017</v>
      </c>
      <c r="S42" s="32" t="str">
        <f>TEXT(_xlfn.IFNA(VLOOKUP(Output_Table[[#This Row],[Month (Plan)]],OutupMonth_Table[#All],2,FALSE),""),"00")</f>
        <v>07</v>
      </c>
    </row>
    <row r="43" spans="1:19" x14ac:dyDescent="0.25">
      <c r="A43" s="69" t="s">
        <v>111</v>
      </c>
      <c r="B43" s="43">
        <v>42936</v>
      </c>
      <c r="C43" s="34">
        <v>8</v>
      </c>
      <c r="D43" s="32" t="s">
        <v>5</v>
      </c>
      <c r="E43" s="32" t="s">
        <v>13</v>
      </c>
      <c r="F43" s="43" t="s">
        <v>28</v>
      </c>
      <c r="G43" s="32" t="s">
        <v>42</v>
      </c>
      <c r="H43" s="75">
        <f>_xlfn.IFNA(VLOOKUP(Output_Table[[#This Row],[Progress]],ProgressCalculation_List,6,FALSE),"")</f>
        <v>1.0000000000000002</v>
      </c>
      <c r="I43" s="76"/>
      <c r="J43" s="78">
        <v>42958</v>
      </c>
      <c r="K43" s="79">
        <v>7</v>
      </c>
      <c r="L43" s="81"/>
      <c r="M43" s="44">
        <v>42940.489583333336</v>
      </c>
      <c r="N43" s="130" t="s">
        <v>203</v>
      </c>
      <c r="O43" s="29">
        <v>0</v>
      </c>
      <c r="P43" s="29">
        <v>0</v>
      </c>
      <c r="Q43" s="29" t="s">
        <v>97</v>
      </c>
      <c r="R43" s="53">
        <v>2017</v>
      </c>
      <c r="S43" s="32" t="str">
        <f>TEXT(_xlfn.IFNA(VLOOKUP(Output_Table[[#This Row],[Month (Plan)]],OutupMonth_Table[#All],2,FALSE),""),"00")</f>
        <v>08</v>
      </c>
    </row>
    <row r="44" spans="1:19" ht="16.5" customHeight="1" x14ac:dyDescent="0.25">
      <c r="A44" s="69" t="s">
        <v>111</v>
      </c>
      <c r="B44" s="43">
        <v>42936</v>
      </c>
      <c r="C44" s="34">
        <v>8</v>
      </c>
      <c r="D44" s="32" t="s">
        <v>5</v>
      </c>
      <c r="E44" s="32"/>
      <c r="F44" s="34"/>
      <c r="G44" s="32" t="s">
        <v>42</v>
      </c>
      <c r="H44" s="75">
        <f>_xlfn.IFNA(VLOOKUP(Output_Table[[#This Row],[Progress]],ProgressCalculation_List,6,FALSE),"")</f>
        <v>1.0000000000000002</v>
      </c>
      <c r="I44" s="76"/>
      <c r="J44" s="78">
        <v>42958</v>
      </c>
      <c r="K44" s="79">
        <v>1</v>
      </c>
      <c r="L44" s="81"/>
      <c r="M44" s="44">
        <v>42948.395833333336</v>
      </c>
      <c r="N44" s="130" t="s">
        <v>203</v>
      </c>
      <c r="O44" s="29"/>
      <c r="P44" s="29"/>
      <c r="Q44" s="29" t="s">
        <v>97</v>
      </c>
      <c r="R44" s="53">
        <v>2017</v>
      </c>
      <c r="S44" s="32" t="str">
        <f>TEXT(_xlfn.IFNA(VLOOKUP(Output_Table[[#This Row],[Month (Plan)]],OutupMonth_Table[#All],2,FALSE),""),"00")</f>
        <v>08</v>
      </c>
    </row>
    <row r="45" spans="1:19" x14ac:dyDescent="0.25">
      <c r="A45" s="67" t="s">
        <v>112</v>
      </c>
      <c r="B45" s="40">
        <v>42936</v>
      </c>
      <c r="C45" s="32">
        <v>8</v>
      </c>
      <c r="D45" s="32" t="s">
        <v>5</v>
      </c>
      <c r="E45" s="32"/>
      <c r="F45" s="32"/>
      <c r="G45" s="32" t="s">
        <v>42</v>
      </c>
      <c r="H45" s="75">
        <f>_xlfn.IFNA(VLOOKUP(Output_Table[[#This Row],[Progress]],ProgressCalculation_List,6,FALSE),"")</f>
        <v>1.0000000000000002</v>
      </c>
      <c r="I45" s="76"/>
      <c r="J45" s="78">
        <v>42958</v>
      </c>
      <c r="K45" s="79">
        <v>8</v>
      </c>
      <c r="L45" s="81"/>
      <c r="M45" s="44">
        <v>42941.65625</v>
      </c>
      <c r="N45" s="53"/>
      <c r="O45" s="29"/>
      <c r="P45" s="29"/>
      <c r="Q45" s="29" t="s">
        <v>97</v>
      </c>
      <c r="R45" s="53">
        <v>2017</v>
      </c>
      <c r="S45" s="32" t="str">
        <f>TEXT(_xlfn.IFNA(VLOOKUP(Output_Table[[#This Row],[Month (Plan)]],OutupMonth_Table[#All],2,FALSE),""),"00")</f>
        <v>08</v>
      </c>
    </row>
    <row r="46" spans="1:19" x14ac:dyDescent="0.25">
      <c r="A46" s="68" t="s">
        <v>106</v>
      </c>
      <c r="B46" s="42">
        <v>42935</v>
      </c>
      <c r="C46" s="33">
        <v>8</v>
      </c>
      <c r="D46" s="32" t="s">
        <v>5</v>
      </c>
      <c r="E46" s="32"/>
      <c r="F46" s="33"/>
      <c r="G46" s="32" t="s">
        <v>43</v>
      </c>
      <c r="H46" s="75">
        <f>_xlfn.IFNA(VLOOKUP(Output_Table[[#This Row],[Progress]],ProgressCalculation_List,6,FALSE),"")</f>
        <v>1.0000000000000002</v>
      </c>
      <c r="I46" s="76"/>
      <c r="J46" s="78">
        <v>42965</v>
      </c>
      <c r="K46" s="79">
        <v>0</v>
      </c>
      <c r="L46" s="81" t="s">
        <v>200</v>
      </c>
      <c r="M46" s="44">
        <v>42948.395833333336</v>
      </c>
      <c r="N46" s="129" t="s">
        <v>203</v>
      </c>
      <c r="O46" s="29"/>
      <c r="P46" s="29"/>
      <c r="Q46" s="29" t="s">
        <v>97</v>
      </c>
      <c r="R46" s="53">
        <v>2017</v>
      </c>
      <c r="S46" s="32" t="str">
        <f>TEXT(_xlfn.IFNA(VLOOKUP(Output_Table[[#This Row],[Month (Plan)]],OutupMonth_Table[#All],2,FALSE),""),"00")</f>
        <v>08</v>
      </c>
    </row>
    <row r="47" spans="1:19" x14ac:dyDescent="0.25">
      <c r="A47" s="67" t="s">
        <v>113</v>
      </c>
      <c r="B47" s="40">
        <v>42940</v>
      </c>
      <c r="C47" s="32">
        <v>8</v>
      </c>
      <c r="D47" s="32" t="s">
        <v>5</v>
      </c>
      <c r="E47" s="32"/>
      <c r="F47" s="32"/>
      <c r="G47" s="32" t="s">
        <v>42</v>
      </c>
      <c r="H47" s="75">
        <f>_xlfn.IFNA(VLOOKUP(Output_Table[[#This Row],[Progress]],ProgressCalculation_List,6,FALSE),"")</f>
        <v>1.0000000000000002</v>
      </c>
      <c r="I47" s="76"/>
      <c r="J47" s="78">
        <v>42978</v>
      </c>
      <c r="K47" s="79">
        <v>8</v>
      </c>
      <c r="L47" s="81"/>
      <c r="M47" s="44">
        <v>42947.53125</v>
      </c>
      <c r="N47" s="53"/>
      <c r="O47" s="29"/>
      <c r="P47" s="29"/>
      <c r="Q47" s="29" t="s">
        <v>97</v>
      </c>
      <c r="R47" s="53">
        <v>2017</v>
      </c>
      <c r="S47" s="32" t="str">
        <f>TEXT(_xlfn.IFNA(VLOOKUP(Output_Table[[#This Row],[Month (Plan)]],OutupMonth_Table[#All],2,FALSE),""),"00")</f>
        <v>08</v>
      </c>
    </row>
    <row r="48" spans="1:19" ht="30" x14ac:dyDescent="0.25">
      <c r="A48" s="67" t="s">
        <v>114</v>
      </c>
      <c r="B48" s="40">
        <v>42941</v>
      </c>
      <c r="C48" s="32">
        <v>16</v>
      </c>
      <c r="D48" s="32" t="s">
        <v>5</v>
      </c>
      <c r="E48" s="32" t="s">
        <v>11</v>
      </c>
      <c r="F48" s="40">
        <v>42947</v>
      </c>
      <c r="G48" s="32" t="s">
        <v>42</v>
      </c>
      <c r="H48" s="75">
        <f>_xlfn.IFNA(VLOOKUP(Output_Table[[#This Row],[Progress]],ProgressCalculation_List,6,FALSE),"")</f>
        <v>1.0000000000000002</v>
      </c>
      <c r="I48" s="76"/>
      <c r="J48" s="78">
        <v>42972</v>
      </c>
      <c r="K48" s="79">
        <v>15</v>
      </c>
      <c r="L48" s="81" t="s">
        <v>200</v>
      </c>
      <c r="M48" s="44">
        <v>42954.541666666664</v>
      </c>
      <c r="N48" s="131" t="s">
        <v>202</v>
      </c>
      <c r="O48" s="29"/>
      <c r="P48" s="29"/>
      <c r="Q48" s="29" t="s">
        <v>97</v>
      </c>
      <c r="R48" s="53">
        <v>2017</v>
      </c>
      <c r="S48" s="32" t="str">
        <f>TEXT(_xlfn.IFNA(VLOOKUP(Output_Table[[#This Row],[Month (Plan)]],OutupMonth_Table[#All],2,FALSE),""),"00")</f>
        <v>08</v>
      </c>
    </row>
    <row r="49" spans="1:19" ht="45" x14ac:dyDescent="0.25">
      <c r="A49" s="67" t="s">
        <v>115</v>
      </c>
      <c r="B49" s="40">
        <v>42951</v>
      </c>
      <c r="C49" s="32">
        <v>8</v>
      </c>
      <c r="D49" s="32" t="s">
        <v>5</v>
      </c>
      <c r="E49" s="32" t="s">
        <v>30</v>
      </c>
      <c r="F49" s="40">
        <v>42958</v>
      </c>
      <c r="G49" s="32" t="s">
        <v>42</v>
      </c>
      <c r="H49" s="75">
        <f>_xlfn.IFNA(VLOOKUP(Output_Table[[#This Row],[Progress]],ProgressCalculation_List,6,FALSE),"")</f>
        <v>1.0000000000000002</v>
      </c>
      <c r="I49" s="76"/>
      <c r="J49" s="78">
        <v>42977</v>
      </c>
      <c r="K49" s="79">
        <v>8</v>
      </c>
      <c r="L49" s="81"/>
      <c r="M49" s="44">
        <v>42958.53125</v>
      </c>
      <c r="N49" s="131" t="s">
        <v>38</v>
      </c>
      <c r="O49" s="29"/>
      <c r="P49" s="29"/>
      <c r="Q49" s="29" t="s">
        <v>97</v>
      </c>
      <c r="R49" s="53">
        <v>2017</v>
      </c>
      <c r="S49" s="32" t="str">
        <f>TEXT(_xlfn.IFNA(VLOOKUP(Output_Table[[#This Row],[Month (Plan)]],OutupMonth_Table[#All],2,FALSE),""),"00")</f>
        <v>08</v>
      </c>
    </row>
    <row r="50" spans="1:19" x14ac:dyDescent="0.25">
      <c r="A50" s="67" t="s">
        <v>187</v>
      </c>
      <c r="B50" s="40">
        <v>43249</v>
      </c>
      <c r="C50" s="32">
        <v>8</v>
      </c>
      <c r="D50" s="32" t="s">
        <v>5</v>
      </c>
      <c r="E50" s="32"/>
      <c r="F50" s="32"/>
      <c r="G50" s="32" t="s">
        <v>42</v>
      </c>
      <c r="H50" s="75">
        <f>_xlfn.IFNA(VLOOKUP(Output_Table[[#This Row],[Progress]],ProgressCalculation_List,6,FALSE),"")</f>
        <v>1.0000000000000002</v>
      </c>
      <c r="I50" s="76" t="s">
        <v>217</v>
      </c>
      <c r="J50" s="78">
        <v>43315</v>
      </c>
      <c r="K50" s="79">
        <v>7</v>
      </c>
      <c r="L50" s="81" t="s">
        <v>198</v>
      </c>
      <c r="M50" s="49"/>
      <c r="N50" s="53"/>
      <c r="O50" s="29"/>
      <c r="P50" s="29"/>
      <c r="Q50" s="29" t="s">
        <v>96</v>
      </c>
      <c r="R50" s="53">
        <v>2018</v>
      </c>
      <c r="S50" s="32" t="str">
        <f>TEXT(_xlfn.IFNA(VLOOKUP(Output_Table[[#This Row],[Month (Plan)]],OutupMonth_Table[#All],2,FALSE),""),"00")</f>
        <v>07</v>
      </c>
    </row>
    <row r="51" spans="1:19" x14ac:dyDescent="0.25">
      <c r="A51" s="67" t="s">
        <v>190</v>
      </c>
      <c r="B51" s="40">
        <v>43291</v>
      </c>
      <c r="C51" s="32">
        <v>8</v>
      </c>
      <c r="D51" s="32" t="s">
        <v>5</v>
      </c>
      <c r="E51" s="32" t="s">
        <v>193</v>
      </c>
      <c r="F51" s="40">
        <v>43292</v>
      </c>
      <c r="G51" s="32" t="s">
        <v>42</v>
      </c>
      <c r="H51" s="75">
        <f>_xlfn.IFNA(VLOOKUP(Output_Table[[#This Row],[Progress]],ProgressCalculation_List,6,FALSE),"")</f>
        <v>1.0000000000000002</v>
      </c>
      <c r="I51" s="76" t="s">
        <v>217</v>
      </c>
      <c r="J51" s="78">
        <v>43315</v>
      </c>
      <c r="K51" s="79">
        <v>8</v>
      </c>
      <c r="L51" s="81"/>
      <c r="M51" s="32"/>
      <c r="N51" s="53"/>
      <c r="O51" s="29">
        <v>25</v>
      </c>
      <c r="P51" s="29">
        <v>56</v>
      </c>
      <c r="Q51" s="29" t="s">
        <v>97</v>
      </c>
      <c r="R51" s="53">
        <v>2018</v>
      </c>
      <c r="S51" s="32" t="str">
        <f>TEXT(_xlfn.IFNA(VLOOKUP(Output_Table[[#This Row],[Month (Plan)]],OutupMonth_Table[#All],2,FALSE),""),"00")</f>
        <v>08</v>
      </c>
    </row>
    <row r="52" spans="1:19" ht="30" x14ac:dyDescent="0.25">
      <c r="A52" s="67" t="s">
        <v>191</v>
      </c>
      <c r="B52" s="40">
        <v>43291</v>
      </c>
      <c r="C52" s="32">
        <v>8</v>
      </c>
      <c r="D52" s="32" t="s">
        <v>5</v>
      </c>
      <c r="E52" s="41" t="s">
        <v>224</v>
      </c>
      <c r="F52" s="32"/>
      <c r="G52" s="32" t="s">
        <v>42</v>
      </c>
      <c r="H52" s="75">
        <f>_xlfn.IFNA(VLOOKUP(Output_Table[[#This Row],[Progress]],ProgressCalculation_List,6,FALSE),"")</f>
        <v>1.0000000000000002</v>
      </c>
      <c r="I52" s="76" t="s">
        <v>217</v>
      </c>
      <c r="J52" s="78">
        <v>43329</v>
      </c>
      <c r="K52" s="79">
        <v>8</v>
      </c>
      <c r="L52" s="81"/>
      <c r="M52" s="32"/>
      <c r="N52" s="53" t="s">
        <v>209</v>
      </c>
      <c r="O52" s="29"/>
      <c r="P52" s="29"/>
      <c r="Q52" s="29" t="s">
        <v>97</v>
      </c>
      <c r="R52" s="53">
        <v>2018</v>
      </c>
      <c r="S52" s="32" t="str">
        <f>TEXT(_xlfn.IFNA(VLOOKUP(Output_Table[[#This Row],[Month (Plan)]],OutupMonth_Table[#All],2,FALSE),""),"00")</f>
        <v>08</v>
      </c>
    </row>
    <row r="53" spans="1:19" ht="30" x14ac:dyDescent="0.25">
      <c r="A53" s="67" t="s">
        <v>194</v>
      </c>
      <c r="B53" s="40">
        <v>43305</v>
      </c>
      <c r="C53" s="32">
        <v>8</v>
      </c>
      <c r="D53" s="32" t="s">
        <v>5</v>
      </c>
      <c r="E53" s="32"/>
      <c r="F53" s="32"/>
      <c r="G53" s="32" t="s">
        <v>42</v>
      </c>
      <c r="H53" s="75">
        <f>_xlfn.IFNA(VLOOKUP(Output_Table[[#This Row],[Progress]],ProgressCalculation_List,6,FALSE),"")</f>
        <v>1.0000000000000002</v>
      </c>
      <c r="I53" s="76" t="s">
        <v>217</v>
      </c>
      <c r="J53" s="78">
        <v>43333</v>
      </c>
      <c r="K53" s="79">
        <v>8</v>
      </c>
      <c r="L53" s="81"/>
      <c r="M53" s="32"/>
      <c r="N53" s="131" t="s">
        <v>210</v>
      </c>
      <c r="O53" s="29"/>
      <c r="P53" s="29"/>
      <c r="Q53" s="29" t="s">
        <v>97</v>
      </c>
      <c r="R53" s="53">
        <v>2018</v>
      </c>
      <c r="S53" s="32" t="str">
        <f>TEXT(_xlfn.IFNA(VLOOKUP(Output_Table[[#This Row],[Month (Plan)]],OutupMonth_Table[#All],2,FALSE),""),"00")</f>
        <v>08</v>
      </c>
    </row>
    <row r="54" spans="1:19" x14ac:dyDescent="0.25">
      <c r="A54" s="67" t="s">
        <v>196</v>
      </c>
      <c r="B54" s="40">
        <v>43307</v>
      </c>
      <c r="C54" s="32">
        <v>8</v>
      </c>
      <c r="D54" s="32" t="s">
        <v>5</v>
      </c>
      <c r="E54" s="32"/>
      <c r="F54" s="32"/>
      <c r="G54" s="32" t="s">
        <v>42</v>
      </c>
      <c r="H54" s="75">
        <f>_xlfn.IFNA(VLOOKUP(Output_Table[[#This Row],[Progress]],ProgressCalculation_List,6,FALSE),"")</f>
        <v>1.0000000000000002</v>
      </c>
      <c r="I54" s="76" t="s">
        <v>217</v>
      </c>
      <c r="J54" s="78">
        <v>43322</v>
      </c>
      <c r="K54" s="79">
        <v>8</v>
      </c>
      <c r="L54" s="81"/>
      <c r="M54" s="32"/>
      <c r="N54" s="53" t="s">
        <v>197</v>
      </c>
      <c r="O54" s="29"/>
      <c r="P54" s="29"/>
      <c r="Q54" s="29" t="s">
        <v>97</v>
      </c>
      <c r="R54" s="53">
        <v>2018</v>
      </c>
      <c r="S54" s="32" t="str">
        <f>TEXT(_xlfn.IFNA(VLOOKUP(Output_Table[[#This Row],[Month (Plan)]],OutupMonth_Table[#All],2,FALSE),""),"00")</f>
        <v>08</v>
      </c>
    </row>
    <row r="55" spans="1:19" ht="45" x14ac:dyDescent="0.25">
      <c r="A55" s="67" t="s">
        <v>195</v>
      </c>
      <c r="B55" s="40">
        <v>43307</v>
      </c>
      <c r="C55" s="32">
        <v>8</v>
      </c>
      <c r="D55" s="32" t="s">
        <v>5</v>
      </c>
      <c r="E55" s="32"/>
      <c r="F55" s="32"/>
      <c r="G55" s="32" t="s">
        <v>42</v>
      </c>
      <c r="H55" s="75">
        <f>_xlfn.IFNA(VLOOKUP(Output_Table[[#This Row],[Progress]],ProgressCalculation_List,6,FALSE),"")</f>
        <v>1.0000000000000002</v>
      </c>
      <c r="I55" s="76" t="s">
        <v>217</v>
      </c>
      <c r="J55" s="78">
        <v>43326</v>
      </c>
      <c r="K55" s="79">
        <v>8</v>
      </c>
      <c r="L55" s="81"/>
      <c r="M55" s="32"/>
      <c r="N55" s="131" t="s">
        <v>211</v>
      </c>
      <c r="O55" s="29"/>
      <c r="P55" s="29"/>
      <c r="Q55" s="29" t="s">
        <v>97</v>
      </c>
      <c r="R55" s="53">
        <v>2018</v>
      </c>
      <c r="S55" s="32" t="str">
        <f>TEXT(_xlfn.IFNA(VLOOKUP(Output_Table[[#This Row],[Month (Plan)]],OutupMonth_Table[#All],2,FALSE),""),"00")</f>
        <v>08</v>
      </c>
    </row>
    <row r="56" spans="1:19" ht="60" x14ac:dyDescent="0.25">
      <c r="A56" s="67" t="s">
        <v>116</v>
      </c>
      <c r="B56" s="40">
        <v>42954</v>
      </c>
      <c r="C56" s="32">
        <v>8</v>
      </c>
      <c r="D56" s="32" t="s">
        <v>5</v>
      </c>
      <c r="E56" s="32"/>
      <c r="F56" s="32"/>
      <c r="G56" s="32" t="s">
        <v>42</v>
      </c>
      <c r="H56" s="75">
        <f>_xlfn.IFNA(VLOOKUP(Output_Table[[#This Row],[Progress]],ProgressCalculation_List,6,FALSE),"")</f>
        <v>1.0000000000000002</v>
      </c>
      <c r="I56" s="76"/>
      <c r="J56" s="78">
        <v>42986</v>
      </c>
      <c r="K56" s="79">
        <v>8</v>
      </c>
      <c r="L56" s="81"/>
      <c r="M56" s="44">
        <v>42968.666666666664</v>
      </c>
      <c r="N56" s="131" t="s">
        <v>48</v>
      </c>
      <c r="O56" s="29">
        <v>0</v>
      </c>
      <c r="P56" s="29">
        <v>0</v>
      </c>
      <c r="Q56" s="29" t="s">
        <v>98</v>
      </c>
      <c r="R56" s="53">
        <v>2017</v>
      </c>
      <c r="S56" s="32" t="str">
        <f>TEXT(_xlfn.IFNA(VLOOKUP(Output_Table[[#This Row],[Month (Plan)]],OutupMonth_Table[#All],2,FALSE),""),"00")</f>
        <v>09</v>
      </c>
    </row>
    <row r="57" spans="1:19" ht="60" x14ac:dyDescent="0.25">
      <c r="A57" s="67" t="s">
        <v>117</v>
      </c>
      <c r="B57" s="40">
        <v>42958</v>
      </c>
      <c r="C57" s="32">
        <v>8</v>
      </c>
      <c r="D57" s="32" t="s">
        <v>5</v>
      </c>
      <c r="E57" s="32" t="s">
        <v>35</v>
      </c>
      <c r="F57" s="40">
        <v>42968</v>
      </c>
      <c r="G57" s="32" t="s">
        <v>42</v>
      </c>
      <c r="H57" s="75">
        <f>_xlfn.IFNA(VLOOKUP(Output_Table[[#This Row],[Progress]],ProgressCalculation_List,6,FALSE),"")</f>
        <v>1.0000000000000002</v>
      </c>
      <c r="I57" s="76"/>
      <c r="J57" s="78">
        <v>42993</v>
      </c>
      <c r="K57" s="79">
        <v>8</v>
      </c>
      <c r="L57" s="81"/>
      <c r="M57" s="44">
        <v>42979.395833333336</v>
      </c>
      <c r="N57" s="131" t="s">
        <v>45</v>
      </c>
      <c r="O57" s="29"/>
      <c r="P57" s="29"/>
      <c r="Q57" s="29" t="s">
        <v>98</v>
      </c>
      <c r="R57" s="53">
        <v>2017</v>
      </c>
      <c r="S57" s="32" t="str">
        <f>TEXT(_xlfn.IFNA(VLOOKUP(Output_Table[[#This Row],[Month (Plan)]],OutupMonth_Table[#All],2,FALSE),""),"00")</f>
        <v>09</v>
      </c>
    </row>
    <row r="58" spans="1:19" ht="45" x14ac:dyDescent="0.25">
      <c r="A58" s="67" t="s">
        <v>118</v>
      </c>
      <c r="B58" s="51">
        <v>42968</v>
      </c>
      <c r="C58" s="29">
        <v>8</v>
      </c>
      <c r="D58" s="32" t="s">
        <v>5</v>
      </c>
      <c r="E58" s="32"/>
      <c r="F58" s="32"/>
      <c r="G58" s="32" t="s">
        <v>42</v>
      </c>
      <c r="H58" s="75">
        <f>_xlfn.IFNA(VLOOKUP(Output_Table[[#This Row],[Progress]],ProgressCalculation_List,6,FALSE),"")</f>
        <v>1.0000000000000002</v>
      </c>
      <c r="I58" s="76"/>
      <c r="J58" s="78">
        <v>42993</v>
      </c>
      <c r="K58" s="79">
        <v>8</v>
      </c>
      <c r="L58" s="81"/>
      <c r="M58" s="44">
        <v>42978.4375</v>
      </c>
      <c r="N58" s="131" t="s">
        <v>46</v>
      </c>
      <c r="O58" s="29"/>
      <c r="P58" s="29"/>
      <c r="Q58" s="29" t="s">
        <v>98</v>
      </c>
      <c r="R58" s="53">
        <v>2017</v>
      </c>
      <c r="S58" s="32" t="str">
        <f>TEXT(_xlfn.IFNA(VLOOKUP(Output_Table[[#This Row],[Month (Plan)]],OutupMonth_Table[#All],2,FALSE),""),"00")</f>
        <v>09</v>
      </c>
    </row>
    <row r="59" spans="1:19" ht="60" x14ac:dyDescent="0.25">
      <c r="A59" s="67" t="s">
        <v>119</v>
      </c>
      <c r="B59" s="40">
        <v>42968</v>
      </c>
      <c r="C59" s="32">
        <v>8</v>
      </c>
      <c r="D59" s="32" t="s">
        <v>5</v>
      </c>
      <c r="E59" s="32" t="s">
        <v>11</v>
      </c>
      <c r="F59" s="40">
        <v>42968</v>
      </c>
      <c r="G59" s="32" t="s">
        <v>42</v>
      </c>
      <c r="H59" s="75">
        <f>_xlfn.IFNA(VLOOKUP(Output_Table[[#This Row],[Progress]],ProgressCalculation_List,6,FALSE),"")</f>
        <v>1.0000000000000002</v>
      </c>
      <c r="I59" s="76"/>
      <c r="J59" s="78">
        <v>43000</v>
      </c>
      <c r="K59" s="79">
        <v>8</v>
      </c>
      <c r="L59" s="81"/>
      <c r="M59" s="44">
        <v>42982.427083333336</v>
      </c>
      <c r="N59" s="131" t="s">
        <v>47</v>
      </c>
      <c r="O59" s="29"/>
      <c r="P59" s="29"/>
      <c r="Q59" s="29" t="s">
        <v>98</v>
      </c>
      <c r="R59" s="53">
        <v>2017</v>
      </c>
      <c r="S59" s="32" t="str">
        <f>TEXT(_xlfn.IFNA(VLOOKUP(Output_Table[[#This Row],[Month (Plan)]],OutupMonth_Table[#All],2,FALSE),""),"00")</f>
        <v>09</v>
      </c>
    </row>
    <row r="60" spans="1:19" ht="75" x14ac:dyDescent="0.25">
      <c r="A60" s="67" t="s">
        <v>120</v>
      </c>
      <c r="B60" s="40">
        <v>42968</v>
      </c>
      <c r="C60" s="32">
        <v>8</v>
      </c>
      <c r="D60" s="32" t="s">
        <v>5</v>
      </c>
      <c r="E60" s="32" t="s">
        <v>64</v>
      </c>
      <c r="F60" s="45" t="s">
        <v>65</v>
      </c>
      <c r="G60" s="32" t="s">
        <v>42</v>
      </c>
      <c r="H60" s="75">
        <f>_xlfn.IFNA(VLOOKUP(Output_Table[[#This Row],[Progress]],ProgressCalculation_List,6,FALSE),"")</f>
        <v>1.0000000000000002</v>
      </c>
      <c r="I60" s="76"/>
      <c r="J60" s="78">
        <v>43000</v>
      </c>
      <c r="K60" s="79">
        <v>8</v>
      </c>
      <c r="L60" s="81"/>
      <c r="M60" s="44">
        <v>42983.625</v>
      </c>
      <c r="N60" s="131" t="s">
        <v>66</v>
      </c>
      <c r="O60" s="29"/>
      <c r="P60" s="29"/>
      <c r="Q60" s="29" t="s">
        <v>98</v>
      </c>
      <c r="R60" s="53">
        <v>2017</v>
      </c>
      <c r="S60" s="32" t="str">
        <f>TEXT(_xlfn.IFNA(VLOOKUP(Output_Table[[#This Row],[Month (Plan)]],OutupMonth_Table[#All],2,FALSE),""),"00")</f>
        <v>09</v>
      </c>
    </row>
    <row r="61" spans="1:19" ht="30" x14ac:dyDescent="0.25">
      <c r="A61" s="67" t="s">
        <v>121</v>
      </c>
      <c r="B61" s="40">
        <v>42969</v>
      </c>
      <c r="C61" s="32">
        <v>8</v>
      </c>
      <c r="D61" s="32" t="s">
        <v>5</v>
      </c>
      <c r="E61" s="32" t="s">
        <v>62</v>
      </c>
      <c r="F61" s="45" t="s">
        <v>63</v>
      </c>
      <c r="G61" s="32" t="s">
        <v>42</v>
      </c>
      <c r="H61" s="75">
        <f>_xlfn.IFNA(VLOOKUP(Output_Table[[#This Row],[Progress]],ProgressCalculation_List,6,FALSE),"")</f>
        <v>1.0000000000000002</v>
      </c>
      <c r="I61" s="76"/>
      <c r="J61" s="78">
        <v>43000</v>
      </c>
      <c r="K61" s="79">
        <v>8</v>
      </c>
      <c r="L61" s="81"/>
      <c r="M61" s="44">
        <v>42986.423611111109</v>
      </c>
      <c r="N61" s="132" t="s">
        <v>67</v>
      </c>
      <c r="O61" s="29"/>
      <c r="P61" s="29"/>
      <c r="Q61" s="29" t="s">
        <v>98</v>
      </c>
      <c r="R61" s="53">
        <v>2017</v>
      </c>
      <c r="S61" s="32" t="str">
        <f>TEXT(_xlfn.IFNA(VLOOKUP(Output_Table[[#This Row],[Month (Plan)]],OutupMonth_Table[#All],2,FALSE),""),"00")</f>
        <v>09</v>
      </c>
    </row>
    <row r="62" spans="1:19" ht="75" x14ac:dyDescent="0.25">
      <c r="A62" s="67" t="s">
        <v>122</v>
      </c>
      <c r="B62" s="40">
        <v>42969</v>
      </c>
      <c r="C62" s="32">
        <v>8</v>
      </c>
      <c r="D62" s="32" t="s">
        <v>5</v>
      </c>
      <c r="E62" s="41" t="s">
        <v>69</v>
      </c>
      <c r="F62" s="41" t="s">
        <v>68</v>
      </c>
      <c r="G62" s="32" t="s">
        <v>42</v>
      </c>
      <c r="H62" s="75">
        <f>_xlfn.IFNA(VLOOKUP(Output_Table[[#This Row],[Progress]],ProgressCalculation_List,6,FALSE),"")</f>
        <v>1.0000000000000002</v>
      </c>
      <c r="I62" s="76"/>
      <c r="J62" s="78">
        <v>43007</v>
      </c>
      <c r="K62" s="79">
        <v>8</v>
      </c>
      <c r="L62" s="81"/>
      <c r="M62" s="44">
        <v>42996.40625</v>
      </c>
      <c r="N62" s="132" t="s">
        <v>72</v>
      </c>
      <c r="O62" s="29"/>
      <c r="P62" s="29"/>
      <c r="Q62" s="29" t="s">
        <v>98</v>
      </c>
      <c r="R62" s="53">
        <v>2017</v>
      </c>
      <c r="S62" s="32" t="str">
        <f>TEXT(_xlfn.IFNA(VLOOKUP(Output_Table[[#This Row],[Month (Plan)]],OutupMonth_Table[#All],2,FALSE),""),"00")</f>
        <v>09</v>
      </c>
    </row>
    <row r="63" spans="1:19" ht="60" x14ac:dyDescent="0.25">
      <c r="A63" s="67" t="s">
        <v>123</v>
      </c>
      <c r="B63" s="138">
        <v>42978</v>
      </c>
      <c r="C63" s="140">
        <v>10</v>
      </c>
      <c r="D63" s="32" t="s">
        <v>5</v>
      </c>
      <c r="E63" s="32"/>
      <c r="F63" s="32"/>
      <c r="G63" s="32" t="s">
        <v>42</v>
      </c>
      <c r="H63" s="75">
        <f>_xlfn.IFNA(VLOOKUP(Output_Table[[#This Row],[Progress]],ProgressCalculation_List,6,FALSE),"")</f>
        <v>1.0000000000000002</v>
      </c>
      <c r="I63" s="76"/>
      <c r="J63" s="78">
        <v>43007</v>
      </c>
      <c r="K63" s="79">
        <v>10</v>
      </c>
      <c r="L63" s="81"/>
      <c r="M63" s="44">
        <v>42992.715277777781</v>
      </c>
      <c r="N63" s="132" t="s">
        <v>73</v>
      </c>
      <c r="O63" s="29"/>
      <c r="P63" s="29"/>
      <c r="Q63" s="29" t="s">
        <v>98</v>
      </c>
      <c r="R63" s="53">
        <v>2017</v>
      </c>
      <c r="S63" s="32" t="str">
        <f>TEXT(_xlfn.IFNA(VLOOKUP(Output_Table[[#This Row],[Month (Plan)]],OutupMonth_Table[#All],2,FALSE),""),"00")</f>
        <v>09</v>
      </c>
    </row>
    <row r="64" spans="1:19" x14ac:dyDescent="0.25">
      <c r="A64" s="67" t="s">
        <v>212</v>
      </c>
      <c r="B64" s="40">
        <v>43327</v>
      </c>
      <c r="C64" s="32">
        <v>8</v>
      </c>
      <c r="D64" s="32" t="s">
        <v>5</v>
      </c>
      <c r="E64" s="32"/>
      <c r="F64" s="32"/>
      <c r="G64" s="32" t="s">
        <v>42</v>
      </c>
      <c r="H64" s="75">
        <f>_xlfn.IFNA(VLOOKUP(Output_Table[[#This Row],[Progress]],ProgressCalculation_List,6,FALSE),"")</f>
        <v>1.0000000000000002</v>
      </c>
      <c r="I64" s="77" t="s">
        <v>217</v>
      </c>
      <c r="J64" s="78">
        <v>43364</v>
      </c>
      <c r="K64" s="79">
        <v>8</v>
      </c>
      <c r="L64" s="81"/>
      <c r="M64" s="44">
        <v>43329.5</v>
      </c>
      <c r="N64" s="131" t="s">
        <v>232</v>
      </c>
      <c r="O64" s="29">
        <v>9</v>
      </c>
      <c r="P64" s="29">
        <v>54</v>
      </c>
      <c r="Q64" s="29" t="s">
        <v>98</v>
      </c>
      <c r="R64" s="53">
        <v>2018</v>
      </c>
      <c r="S64" s="32" t="str">
        <f>TEXT(_xlfn.IFNA(VLOOKUP(Output_Table[[#This Row],[Month (Plan)]],OutupMonth_Table[#All],2,FALSE),""),"00")</f>
        <v>09</v>
      </c>
    </row>
    <row r="65" spans="1:19" ht="30" x14ac:dyDescent="0.25">
      <c r="A65" s="67" t="s">
        <v>213</v>
      </c>
      <c r="B65" s="40">
        <v>43327</v>
      </c>
      <c r="C65" s="32">
        <v>8</v>
      </c>
      <c r="D65" s="32" t="s">
        <v>5</v>
      </c>
      <c r="E65" s="35"/>
      <c r="F65" s="32"/>
      <c r="G65" s="32" t="s">
        <v>42</v>
      </c>
      <c r="H65" s="75">
        <f>_xlfn.IFNA(VLOOKUP(Output_Table[[#This Row],[Progress]],ProgressCalculation_List,6,FALSE),"")</f>
        <v>1.0000000000000002</v>
      </c>
      <c r="I65" s="76" t="s">
        <v>217</v>
      </c>
      <c r="J65" s="78">
        <v>43364</v>
      </c>
      <c r="K65" s="79">
        <v>7</v>
      </c>
      <c r="L65" s="81" t="s">
        <v>234</v>
      </c>
      <c r="M65" s="44">
        <v>43329.5</v>
      </c>
      <c r="N65" s="131" t="s">
        <v>218</v>
      </c>
      <c r="O65" s="29"/>
      <c r="P65" s="29"/>
      <c r="Q65" s="29" t="s">
        <v>98</v>
      </c>
      <c r="R65" s="53">
        <v>2018</v>
      </c>
      <c r="S65" s="32" t="str">
        <f>TEXT(_xlfn.IFNA(VLOOKUP(Output_Table[[#This Row],[Month (Plan)]],OutupMonth_Table[#All],2,FALSE),""),"00")</f>
        <v>09</v>
      </c>
    </row>
    <row r="66" spans="1:19" ht="45" x14ac:dyDescent="0.25">
      <c r="A66" s="67" t="s">
        <v>214</v>
      </c>
      <c r="B66" s="40">
        <v>43328</v>
      </c>
      <c r="C66" s="32">
        <v>8</v>
      </c>
      <c r="D66" s="32" t="s">
        <v>5</v>
      </c>
      <c r="E66" s="32"/>
      <c r="F66" s="32"/>
      <c r="G66" s="32" t="s">
        <v>42</v>
      </c>
      <c r="H66" s="75">
        <f>_xlfn.IFNA(VLOOKUP(Output_Table[[#This Row],[Progress]],ProgressCalculation_List,6,FALSE),"")</f>
        <v>1.0000000000000002</v>
      </c>
      <c r="I66" s="76" t="s">
        <v>217</v>
      </c>
      <c r="J66" s="78">
        <v>43356</v>
      </c>
      <c r="K66" s="79">
        <v>8</v>
      </c>
      <c r="L66" s="81"/>
      <c r="M66" s="44">
        <v>43332.5</v>
      </c>
      <c r="N66" s="131" t="s">
        <v>231</v>
      </c>
      <c r="O66" s="29"/>
      <c r="P66" s="29"/>
      <c r="Q66" s="29" t="s">
        <v>98</v>
      </c>
      <c r="R66" s="53">
        <v>2018</v>
      </c>
      <c r="S66" s="32" t="str">
        <f>TEXT(_xlfn.IFNA(VLOOKUP(Output_Table[[#This Row],[Month (Plan)]],OutupMonth_Table[#All],2,FALSE),""),"00")</f>
        <v>09</v>
      </c>
    </row>
    <row r="67" spans="1:19" x14ac:dyDescent="0.25">
      <c r="A67" s="67" t="s">
        <v>219</v>
      </c>
      <c r="B67" s="40">
        <v>43353</v>
      </c>
      <c r="C67" s="32">
        <v>8</v>
      </c>
      <c r="D67" s="32" t="s">
        <v>5</v>
      </c>
      <c r="E67" s="32" t="s">
        <v>225</v>
      </c>
      <c r="F67" s="40">
        <v>43360</v>
      </c>
      <c r="G67" s="32" t="s">
        <v>42</v>
      </c>
      <c r="H67" s="75">
        <f>_xlfn.IFNA(VLOOKUP(Output_Table[[#This Row],[Progress]],ProgressCalculation_List,6,FALSE),"")</f>
        <v>1.0000000000000002</v>
      </c>
      <c r="I67" s="76" t="s">
        <v>217</v>
      </c>
      <c r="J67" s="78">
        <v>43370</v>
      </c>
      <c r="K67" s="79">
        <v>8</v>
      </c>
      <c r="L67" s="81"/>
      <c r="M67" s="40">
        <v>43356</v>
      </c>
      <c r="N67" s="131" t="s">
        <v>240</v>
      </c>
      <c r="O67" s="29"/>
      <c r="P67" s="29"/>
      <c r="Q67" s="29" t="s">
        <v>98</v>
      </c>
      <c r="R67" s="53">
        <v>2018</v>
      </c>
      <c r="S67" s="32" t="str">
        <f>TEXT(_xlfn.IFNA(VLOOKUP(Output_Table[[#This Row],[Month (Plan)]],OutupMonth_Table[#All],2,FALSE),""),"00")</f>
        <v>09</v>
      </c>
    </row>
    <row r="68" spans="1:19" ht="30" x14ac:dyDescent="0.25">
      <c r="A68" s="67" t="s">
        <v>220</v>
      </c>
      <c r="B68" s="40">
        <v>43353</v>
      </c>
      <c r="C68" s="32">
        <v>8</v>
      </c>
      <c r="D68" s="32" t="s">
        <v>5</v>
      </c>
      <c r="E68" s="32" t="s">
        <v>225</v>
      </c>
      <c r="F68" s="40">
        <v>43360</v>
      </c>
      <c r="G68" s="32" t="s">
        <v>42</v>
      </c>
      <c r="H68" s="75">
        <f>_xlfn.IFNA(VLOOKUP(Output_Table[[#This Row],[Progress]],ProgressCalculation_List,6,FALSE),"")</f>
        <v>1.0000000000000002</v>
      </c>
      <c r="I68" s="76" t="s">
        <v>217</v>
      </c>
      <c r="J68" s="78">
        <v>43370</v>
      </c>
      <c r="K68" s="79">
        <v>8</v>
      </c>
      <c r="L68" s="81"/>
      <c r="M68" s="40">
        <v>43357</v>
      </c>
      <c r="N68" s="131" t="s">
        <v>239</v>
      </c>
      <c r="O68" s="29"/>
      <c r="P68" s="29"/>
      <c r="Q68" s="29" t="s">
        <v>98</v>
      </c>
      <c r="R68" s="53">
        <v>2018</v>
      </c>
      <c r="S68" s="32" t="str">
        <f>TEXT(_xlfn.IFNA(VLOOKUP(Output_Table[[#This Row],[Month (Plan)]],OutupMonth_Table[#All],2,FALSE),""),"00")</f>
        <v>09</v>
      </c>
    </row>
    <row r="69" spans="1:19" ht="120" x14ac:dyDescent="0.25">
      <c r="A69" s="67" t="s">
        <v>124</v>
      </c>
      <c r="B69" s="40">
        <v>42982</v>
      </c>
      <c r="C69" s="32">
        <v>8</v>
      </c>
      <c r="D69" s="32" t="s">
        <v>5</v>
      </c>
      <c r="E69" s="32" t="s">
        <v>44</v>
      </c>
      <c r="F69" s="40">
        <v>42992</v>
      </c>
      <c r="G69" s="32" t="s">
        <v>42</v>
      </c>
      <c r="H69" s="75">
        <f>_xlfn.IFNA(VLOOKUP(Output_Table[[#This Row],[Progress]],ProgressCalculation_List,6,FALSE),"")</f>
        <v>1.0000000000000002</v>
      </c>
      <c r="I69" s="76"/>
      <c r="J69" s="78">
        <v>43021</v>
      </c>
      <c r="K69" s="79">
        <v>8</v>
      </c>
      <c r="L69" s="81"/>
      <c r="M69" s="44">
        <v>43000.416666666664</v>
      </c>
      <c r="N69" s="133" t="s">
        <v>84</v>
      </c>
      <c r="O69" s="29">
        <v>0</v>
      </c>
      <c r="P69" s="29">
        <v>0</v>
      </c>
      <c r="Q69" s="29" t="s">
        <v>76</v>
      </c>
      <c r="R69" s="53">
        <v>2017</v>
      </c>
      <c r="S69" s="32" t="str">
        <f>TEXT(_xlfn.IFNA(VLOOKUP(Output_Table[[#This Row],[Month (Plan)]],OutupMonth_Table[#All],2,FALSE),""),"00")</f>
        <v>10</v>
      </c>
    </row>
    <row r="70" spans="1:19" ht="180" x14ac:dyDescent="0.25">
      <c r="A70" s="67" t="s">
        <v>125</v>
      </c>
      <c r="B70" s="40">
        <v>42983</v>
      </c>
      <c r="C70" s="32">
        <v>8</v>
      </c>
      <c r="D70" s="32" t="s">
        <v>5</v>
      </c>
      <c r="E70" s="32" t="s">
        <v>70</v>
      </c>
      <c r="F70" s="45" t="s">
        <v>71</v>
      </c>
      <c r="G70" s="32" t="s">
        <v>42</v>
      </c>
      <c r="H70" s="75">
        <f>_xlfn.IFNA(VLOOKUP(Output_Table[[#This Row],[Progress]],ProgressCalculation_List,6,FALSE),"")</f>
        <v>1.0000000000000002</v>
      </c>
      <c r="I70" s="76"/>
      <c r="J70" s="78">
        <v>43021</v>
      </c>
      <c r="K70" s="79">
        <v>8</v>
      </c>
      <c r="L70" s="81"/>
      <c r="M70" s="44">
        <v>43003.5625</v>
      </c>
      <c r="N70" s="134" t="s">
        <v>85</v>
      </c>
      <c r="O70" s="29"/>
      <c r="P70" s="29"/>
      <c r="Q70" s="29" t="s">
        <v>76</v>
      </c>
      <c r="R70" s="53">
        <v>2017</v>
      </c>
      <c r="S70" s="32" t="str">
        <f>TEXT(_xlfn.IFNA(VLOOKUP(Output_Table[[#This Row],[Month (Plan)]],OutupMonth_Table[#All],2,FALSE),""),"00")</f>
        <v>10</v>
      </c>
    </row>
    <row r="71" spans="1:19" ht="90" x14ac:dyDescent="0.25">
      <c r="A71" s="67" t="s">
        <v>126</v>
      </c>
      <c r="B71" s="40">
        <v>42983</v>
      </c>
      <c r="C71" s="32">
        <v>8</v>
      </c>
      <c r="D71" s="32" t="s">
        <v>5</v>
      </c>
      <c r="E71" s="32" t="s">
        <v>44</v>
      </c>
      <c r="F71" s="40">
        <v>42992</v>
      </c>
      <c r="G71" s="32" t="s">
        <v>42</v>
      </c>
      <c r="H71" s="75">
        <f>_xlfn.IFNA(VLOOKUP(Output_Table[[#This Row],[Progress]],ProgressCalculation_List,6,FALSE),"")</f>
        <v>1.0000000000000002</v>
      </c>
      <c r="I71" s="76"/>
      <c r="J71" s="78">
        <v>43028</v>
      </c>
      <c r="K71" s="79">
        <v>8</v>
      </c>
      <c r="L71" s="35" t="s">
        <v>77</v>
      </c>
      <c r="M71" s="44">
        <v>43007.520833333336</v>
      </c>
      <c r="N71" s="133" t="s">
        <v>83</v>
      </c>
      <c r="O71" s="29"/>
      <c r="P71" s="29"/>
      <c r="Q71" s="29" t="s">
        <v>76</v>
      </c>
      <c r="R71" s="53">
        <v>2017</v>
      </c>
      <c r="S71" s="32" t="str">
        <f>TEXT(_xlfn.IFNA(VLOOKUP(Output_Table[[#This Row],[Month (Plan)]],OutupMonth_Table[#All],2,FALSE),""),"00")</f>
        <v>10</v>
      </c>
    </row>
    <row r="72" spans="1:19" ht="60" x14ac:dyDescent="0.25">
      <c r="A72" s="67" t="s">
        <v>127</v>
      </c>
      <c r="B72" s="40">
        <v>43003</v>
      </c>
      <c r="C72" s="32">
        <v>8</v>
      </c>
      <c r="D72" s="32" t="s">
        <v>5</v>
      </c>
      <c r="E72" s="32"/>
      <c r="F72" s="32"/>
      <c r="G72" s="32" t="s">
        <v>42</v>
      </c>
      <c r="H72" s="75">
        <f>_xlfn.IFNA(VLOOKUP(Output_Table[[#This Row],[Progress]],ProgressCalculation_List,6,FALSE),"")</f>
        <v>1.0000000000000002</v>
      </c>
      <c r="I72" s="76"/>
      <c r="J72" s="78">
        <v>43028</v>
      </c>
      <c r="K72" s="79">
        <v>8</v>
      </c>
      <c r="L72" s="81"/>
      <c r="M72" s="44">
        <v>43007.5</v>
      </c>
      <c r="N72" s="133" t="s">
        <v>79</v>
      </c>
      <c r="O72" s="29"/>
      <c r="P72" s="29"/>
      <c r="Q72" s="29" t="s">
        <v>76</v>
      </c>
      <c r="R72" s="53">
        <v>2017</v>
      </c>
      <c r="S72" s="32" t="str">
        <f>TEXT(_xlfn.IFNA(VLOOKUP(Output_Table[[#This Row],[Month (Plan)]],OutupMonth_Table[#All],2,FALSE),""),"00")</f>
        <v>10</v>
      </c>
    </row>
    <row r="73" spans="1:19" ht="60" x14ac:dyDescent="0.25">
      <c r="A73" s="67" t="s">
        <v>128</v>
      </c>
      <c r="B73" s="40">
        <v>43004</v>
      </c>
      <c r="C73" s="32">
        <v>8</v>
      </c>
      <c r="D73" s="32" t="s">
        <v>5</v>
      </c>
      <c r="E73" s="32"/>
      <c r="F73" s="32"/>
      <c r="G73" s="32" t="s">
        <v>42</v>
      </c>
      <c r="H73" s="75">
        <f>_xlfn.IFNA(VLOOKUP(Output_Table[[#This Row],[Progress]],ProgressCalculation_List,6,FALSE),"")</f>
        <v>1.0000000000000002</v>
      </c>
      <c r="I73" s="76"/>
      <c r="J73" s="78">
        <v>43028</v>
      </c>
      <c r="K73" s="79">
        <v>8</v>
      </c>
      <c r="L73" s="81"/>
      <c r="M73" s="44">
        <v>43038.444444444445</v>
      </c>
      <c r="N73" s="133" t="s">
        <v>79</v>
      </c>
      <c r="O73" s="29"/>
      <c r="P73" s="29"/>
      <c r="Q73" s="29" t="s">
        <v>76</v>
      </c>
      <c r="R73" s="53">
        <v>2017</v>
      </c>
      <c r="S73" s="32" t="str">
        <f>TEXT(_xlfn.IFNA(VLOOKUP(Output_Table[[#This Row],[Month (Plan)]],OutupMonth_Table[#All],2,FALSE),""),"00")</f>
        <v>10</v>
      </c>
    </row>
    <row r="74" spans="1:19" x14ac:dyDescent="0.25">
      <c r="A74" s="67" t="s">
        <v>129</v>
      </c>
      <c r="B74" s="40">
        <v>43004</v>
      </c>
      <c r="C74" s="32">
        <v>8</v>
      </c>
      <c r="D74" s="32" t="s">
        <v>5</v>
      </c>
      <c r="E74" s="32"/>
      <c r="F74" s="32"/>
      <c r="G74" s="32" t="s">
        <v>42</v>
      </c>
      <c r="H74" s="75">
        <f>_xlfn.IFNA(VLOOKUP(Output_Table[[#This Row],[Progress]],ProgressCalculation_List,6,FALSE),"")</f>
        <v>1.0000000000000002</v>
      </c>
      <c r="I74" s="76"/>
      <c r="J74" s="78">
        <v>43035</v>
      </c>
      <c r="K74" s="79">
        <v>8</v>
      </c>
      <c r="L74" s="81"/>
      <c r="M74" s="44">
        <v>43012.364583333336</v>
      </c>
      <c r="N74" s="53" t="s">
        <v>78</v>
      </c>
      <c r="O74" s="29"/>
      <c r="P74" s="29"/>
      <c r="Q74" s="29" t="s">
        <v>76</v>
      </c>
      <c r="R74" s="53">
        <v>2017</v>
      </c>
      <c r="S74" s="32" t="str">
        <f>TEXT(_xlfn.IFNA(VLOOKUP(Output_Table[[#This Row],[Month (Plan)]],OutupMonth_Table[#All],2,FALSE),""),"00")</f>
        <v>10</v>
      </c>
    </row>
    <row r="75" spans="1:19" x14ac:dyDescent="0.25">
      <c r="A75" s="67" t="s">
        <v>130</v>
      </c>
      <c r="B75" s="40">
        <v>43004</v>
      </c>
      <c r="C75" s="32">
        <v>8</v>
      </c>
      <c r="D75" s="32" t="s">
        <v>5</v>
      </c>
      <c r="E75" s="32"/>
      <c r="F75" s="32"/>
      <c r="G75" s="32" t="s">
        <v>42</v>
      </c>
      <c r="H75" s="75">
        <f>_xlfn.IFNA(VLOOKUP(Output_Table[[#This Row],[Progress]],ProgressCalculation_List,6,FALSE),"")</f>
        <v>1.0000000000000002</v>
      </c>
      <c r="I75" s="76"/>
      <c r="J75" s="78">
        <v>43035</v>
      </c>
      <c r="K75" s="79">
        <v>8</v>
      </c>
      <c r="L75" s="81"/>
      <c r="M75" s="44">
        <v>43012.625</v>
      </c>
      <c r="N75" s="53"/>
      <c r="O75" s="29"/>
      <c r="P75" s="29"/>
      <c r="Q75" s="29" t="s">
        <v>76</v>
      </c>
      <c r="R75" s="53">
        <v>2017</v>
      </c>
      <c r="S75" s="32" t="str">
        <f>TEXT(_xlfn.IFNA(VLOOKUP(Output_Table[[#This Row],[Month (Plan)]],OutupMonth_Table[#All],2,FALSE),""),"00")</f>
        <v>10</v>
      </c>
    </row>
    <row r="76" spans="1:19" x14ac:dyDescent="0.25">
      <c r="A76" s="67" t="s">
        <v>131</v>
      </c>
      <c r="B76" s="40">
        <v>43012</v>
      </c>
      <c r="C76" s="32">
        <v>8</v>
      </c>
      <c r="D76" s="32" t="s">
        <v>5</v>
      </c>
      <c r="E76" s="32"/>
      <c r="F76" s="32"/>
      <c r="G76" s="32" t="s">
        <v>42</v>
      </c>
      <c r="H76" s="75">
        <f>_xlfn.IFNA(VLOOKUP(Output_Table[[#This Row],[Progress]],ProgressCalculation_List,6,FALSE),"")</f>
        <v>1.0000000000000002</v>
      </c>
      <c r="I76" s="76"/>
      <c r="J76" s="78">
        <v>43035</v>
      </c>
      <c r="K76" s="79">
        <v>8</v>
      </c>
      <c r="L76" s="81"/>
      <c r="M76" s="44">
        <v>37173.4375</v>
      </c>
      <c r="N76" s="53"/>
      <c r="O76" s="29"/>
      <c r="P76" s="29"/>
      <c r="Q76" s="29" t="s">
        <v>76</v>
      </c>
      <c r="R76" s="53">
        <v>2017</v>
      </c>
      <c r="S76" s="32" t="str">
        <f>TEXT(_xlfn.IFNA(VLOOKUP(Output_Table[[#This Row],[Month (Plan)]],OutupMonth_Table[#All],2,FALSE),""),"00")</f>
        <v>10</v>
      </c>
    </row>
    <row r="77" spans="1:19" ht="30" x14ac:dyDescent="0.25">
      <c r="A77" s="67" t="s">
        <v>132</v>
      </c>
      <c r="B77" s="40">
        <v>43012</v>
      </c>
      <c r="C77" s="32">
        <v>8</v>
      </c>
      <c r="D77" s="32" t="s">
        <v>5</v>
      </c>
      <c r="E77" s="32" t="s">
        <v>80</v>
      </c>
      <c r="F77" s="45" t="s">
        <v>82</v>
      </c>
      <c r="G77" s="32" t="s">
        <v>42</v>
      </c>
      <c r="H77" s="75">
        <f>_xlfn.IFNA(VLOOKUP(Output_Table[[#This Row],[Progress]],ProgressCalculation_List,6,FALSE),"")</f>
        <v>1.0000000000000002</v>
      </c>
      <c r="I77" s="76"/>
      <c r="J77" s="78">
        <v>43039</v>
      </c>
      <c r="K77" s="79">
        <v>8</v>
      </c>
      <c r="L77" s="81"/>
      <c r="M77" s="44">
        <v>43018.46875</v>
      </c>
      <c r="N77" s="53"/>
      <c r="O77" s="29">
        <v>0</v>
      </c>
      <c r="P77" s="29">
        <v>0</v>
      </c>
      <c r="Q77" s="29" t="s">
        <v>88</v>
      </c>
      <c r="R77" s="53">
        <v>2017</v>
      </c>
      <c r="S77" s="32" t="str">
        <f>TEXT(_xlfn.IFNA(VLOOKUP(Output_Table[[#This Row],[Month (Plan)]],OutupMonth_Table[#All],2,FALSE),""),"00")</f>
        <v>11</v>
      </c>
    </row>
    <row r="78" spans="1:19" x14ac:dyDescent="0.25">
      <c r="A78" s="67" t="s">
        <v>221</v>
      </c>
      <c r="B78" s="40">
        <v>43355</v>
      </c>
      <c r="C78" s="32">
        <v>8</v>
      </c>
      <c r="D78" s="32" t="s">
        <v>5</v>
      </c>
      <c r="E78" s="32" t="s">
        <v>225</v>
      </c>
      <c r="F78" s="40">
        <v>43360</v>
      </c>
      <c r="G78" s="32" t="s">
        <v>42</v>
      </c>
      <c r="H78" s="75">
        <f>_xlfn.IFNA(VLOOKUP(Output_Table[[#This Row],[Progress]],ProgressCalculation_List,6,FALSE),"")</f>
        <v>1.0000000000000002</v>
      </c>
      <c r="I78" s="76" t="s">
        <v>217</v>
      </c>
      <c r="J78" s="78">
        <v>43377</v>
      </c>
      <c r="K78" s="79">
        <v>8</v>
      </c>
      <c r="L78" s="81"/>
      <c r="M78" s="44">
        <v>43360.625</v>
      </c>
      <c r="N78" s="53"/>
      <c r="O78" s="29">
        <v>0</v>
      </c>
      <c r="P78" s="29">
        <v>82</v>
      </c>
      <c r="Q78" s="29" t="s">
        <v>76</v>
      </c>
      <c r="R78" s="53">
        <v>2018</v>
      </c>
      <c r="S78" s="32" t="str">
        <f>TEXT(_xlfn.IFNA(VLOOKUP(Output_Table[[#This Row],[Month (Plan)]],OutupMonth_Table[#All],2,FALSE),""),"00")</f>
        <v>10</v>
      </c>
    </row>
    <row r="79" spans="1:19" x14ac:dyDescent="0.25">
      <c r="A79" s="67" t="s">
        <v>222</v>
      </c>
      <c r="B79" s="40">
        <v>43355</v>
      </c>
      <c r="C79" s="32">
        <v>8</v>
      </c>
      <c r="D79" s="32" t="s">
        <v>5</v>
      </c>
      <c r="E79" s="32" t="s">
        <v>225</v>
      </c>
      <c r="F79" s="40">
        <v>43360</v>
      </c>
      <c r="G79" s="32" t="s">
        <v>42</v>
      </c>
      <c r="H79" s="75">
        <f>_xlfn.IFNA(VLOOKUP(Output_Table[[#This Row],[Progress]],ProgressCalculation_List,6,FALSE),"")</f>
        <v>1.0000000000000002</v>
      </c>
      <c r="I79" s="76" t="s">
        <v>217</v>
      </c>
      <c r="J79" s="78">
        <v>43377</v>
      </c>
      <c r="K79" s="79">
        <v>8</v>
      </c>
      <c r="L79" s="81"/>
      <c r="M79" s="44">
        <v>43361.541666666664</v>
      </c>
      <c r="N79" s="53"/>
      <c r="O79" s="29"/>
      <c r="P79" s="29"/>
      <c r="Q79" s="29" t="s">
        <v>76</v>
      </c>
      <c r="R79" s="53">
        <v>2018</v>
      </c>
      <c r="S79" s="32" t="str">
        <f>TEXT(_xlfn.IFNA(VLOOKUP(Output_Table[[#This Row],[Month (Plan)]],OutupMonth_Table[#All],2,FALSE),""),"00")</f>
        <v>10</v>
      </c>
    </row>
    <row r="80" spans="1:19" x14ac:dyDescent="0.25">
      <c r="A80" s="67" t="s">
        <v>223</v>
      </c>
      <c r="B80" s="40">
        <v>43355</v>
      </c>
      <c r="C80" s="32">
        <v>8</v>
      </c>
      <c r="D80" s="32" t="s">
        <v>5</v>
      </c>
      <c r="E80" s="32" t="s">
        <v>225</v>
      </c>
      <c r="F80" s="40">
        <v>43360</v>
      </c>
      <c r="G80" s="32" t="s">
        <v>42</v>
      </c>
      <c r="H80" s="75">
        <f>_xlfn.IFNA(VLOOKUP(Output_Table[[#This Row],[Progress]],ProgressCalculation_List,6,FALSE),"")</f>
        <v>1.0000000000000002</v>
      </c>
      <c r="I80" s="76" t="s">
        <v>217</v>
      </c>
      <c r="J80" s="78">
        <v>43384</v>
      </c>
      <c r="K80" s="79">
        <v>8</v>
      </c>
      <c r="L80" s="81"/>
      <c r="M80" s="44">
        <v>43367.604166666664</v>
      </c>
      <c r="N80" s="131"/>
      <c r="O80" s="29"/>
      <c r="P80" s="29"/>
      <c r="Q80" s="29" t="s">
        <v>76</v>
      </c>
      <c r="R80" s="53">
        <v>2018</v>
      </c>
      <c r="S80" s="32" t="str">
        <f>TEXT(_xlfn.IFNA(VLOOKUP(Output_Table[[#This Row],[Month (Plan)]],OutupMonth_Table[#All],2,FALSE),""),"00")</f>
        <v>10</v>
      </c>
    </row>
    <row r="81" spans="1:19" ht="30" x14ac:dyDescent="0.25">
      <c r="A81" s="67" t="s">
        <v>226</v>
      </c>
      <c r="B81" s="40">
        <v>43360</v>
      </c>
      <c r="C81" s="32">
        <v>8</v>
      </c>
      <c r="D81" s="32" t="s">
        <v>5</v>
      </c>
      <c r="E81" s="41" t="s">
        <v>246</v>
      </c>
      <c r="F81" s="86" t="s">
        <v>247</v>
      </c>
      <c r="G81" s="32" t="s">
        <v>42</v>
      </c>
      <c r="H81" s="75">
        <f>_xlfn.IFNA(VLOOKUP(Output_Table[[#This Row],[Progress]],ProgressCalculation_List,6,FALSE),"")</f>
        <v>1.0000000000000002</v>
      </c>
      <c r="I81" s="76" t="s">
        <v>217</v>
      </c>
      <c r="J81" s="78">
        <v>43398</v>
      </c>
      <c r="K81" s="79">
        <v>8</v>
      </c>
      <c r="L81" s="81"/>
      <c r="M81" s="32"/>
      <c r="N81" s="133"/>
      <c r="O81" s="58"/>
      <c r="P81" s="58"/>
      <c r="Q81" s="29" t="s">
        <v>76</v>
      </c>
      <c r="R81" s="53">
        <v>2018</v>
      </c>
      <c r="S81" s="32" t="str">
        <f>TEXT(_xlfn.IFNA(VLOOKUP(Output_Table[[#This Row],[Month (Plan)]],OutupMonth_Table[#All],2,FALSE),""),"00")</f>
        <v>10</v>
      </c>
    </row>
    <row r="82" spans="1:19" x14ac:dyDescent="0.25">
      <c r="A82" s="67" t="s">
        <v>227</v>
      </c>
      <c r="B82" s="40">
        <v>43361</v>
      </c>
      <c r="C82" s="32">
        <v>8</v>
      </c>
      <c r="D82" s="32" t="s">
        <v>5</v>
      </c>
      <c r="E82" s="32"/>
      <c r="F82" s="32"/>
      <c r="G82" s="32" t="s">
        <v>42</v>
      </c>
      <c r="H82" s="75">
        <f>_xlfn.IFNA(VLOOKUP(Output_Table[[#This Row],[Progress]],ProgressCalculation_List,6,FALSE),"")</f>
        <v>1.0000000000000002</v>
      </c>
      <c r="I82" s="76" t="s">
        <v>217</v>
      </c>
      <c r="J82" s="78">
        <v>43384</v>
      </c>
      <c r="K82" s="79">
        <v>8</v>
      </c>
      <c r="L82" s="81"/>
      <c r="M82" s="44">
        <v>43367.645833333336</v>
      </c>
      <c r="N82" s="131" t="s">
        <v>245</v>
      </c>
      <c r="O82" s="58"/>
      <c r="P82" s="58"/>
      <c r="Q82" s="29" t="s">
        <v>76</v>
      </c>
      <c r="R82" s="53">
        <v>2018</v>
      </c>
      <c r="S82" s="32" t="str">
        <f>TEXT(_xlfn.IFNA(VLOOKUP(Output_Table[[#This Row],[Month (Plan)]],OutupMonth_Table[#All],2,FALSE),""),"00")</f>
        <v>10</v>
      </c>
    </row>
    <row r="83" spans="1:19" ht="30" x14ac:dyDescent="0.25">
      <c r="A83" s="67" t="s">
        <v>228</v>
      </c>
      <c r="B83" s="40">
        <v>43361</v>
      </c>
      <c r="C83" s="32">
        <v>8</v>
      </c>
      <c r="D83" s="32" t="s">
        <v>5</v>
      </c>
      <c r="E83" s="41" t="s">
        <v>237</v>
      </c>
      <c r="F83" s="86" t="s">
        <v>241</v>
      </c>
      <c r="G83" s="32" t="s">
        <v>42</v>
      </c>
      <c r="H83" s="75">
        <f>_xlfn.IFNA(VLOOKUP(Output_Table[[#This Row],[Progress]],ProgressCalculation_List,6,FALSE),"")</f>
        <v>1.0000000000000002</v>
      </c>
      <c r="I83" s="76" t="s">
        <v>217</v>
      </c>
      <c r="J83" s="78">
        <v>43385</v>
      </c>
      <c r="K83" s="79">
        <v>8</v>
      </c>
      <c r="L83" s="81"/>
      <c r="M83" s="44">
        <v>43369.458333333336</v>
      </c>
      <c r="N83" s="131" t="s">
        <v>245</v>
      </c>
      <c r="O83" s="58"/>
      <c r="P83" s="58"/>
      <c r="Q83" s="29" t="s">
        <v>76</v>
      </c>
      <c r="R83" s="53">
        <v>2018</v>
      </c>
      <c r="S83" s="32" t="str">
        <f>TEXT(_xlfn.IFNA(VLOOKUP(Output_Table[[#This Row],[Month (Plan)]],OutupMonth_Table[#All],2,FALSE),""),"00")</f>
        <v>10</v>
      </c>
    </row>
    <row r="84" spans="1:19" ht="30" x14ac:dyDescent="0.25">
      <c r="A84" s="67" t="s">
        <v>229</v>
      </c>
      <c r="B84" s="40">
        <v>43361</v>
      </c>
      <c r="C84" s="32">
        <v>8</v>
      </c>
      <c r="D84" s="32" t="s">
        <v>5</v>
      </c>
      <c r="E84" s="41" t="s">
        <v>238</v>
      </c>
      <c r="F84" s="45">
        <v>43362</v>
      </c>
      <c r="G84" s="32" t="s">
        <v>42</v>
      </c>
      <c r="H84" s="75">
        <f>_xlfn.IFNA(VLOOKUP(Output_Table[[#This Row],[Progress]],ProgressCalculation_List,6,FALSE),"")</f>
        <v>1.0000000000000002</v>
      </c>
      <c r="I84" s="76" t="s">
        <v>217</v>
      </c>
      <c r="J84" s="78">
        <v>43396</v>
      </c>
      <c r="K84" s="79">
        <v>8</v>
      </c>
      <c r="L84" s="81"/>
      <c r="M84" s="44">
        <v>43370.375</v>
      </c>
      <c r="N84" s="53" t="s">
        <v>243</v>
      </c>
      <c r="O84" s="58"/>
      <c r="P84" s="58"/>
      <c r="Q84" s="29" t="s">
        <v>76</v>
      </c>
      <c r="R84" s="53">
        <v>2018</v>
      </c>
      <c r="S84" s="32" t="str">
        <f>TEXT(_xlfn.IFNA(VLOOKUP(Output_Table[[#This Row],[Month (Plan)]],OutupMonth_Table[#All],2,FALSE),""),"00")</f>
        <v>10</v>
      </c>
    </row>
    <row r="85" spans="1:19" x14ac:dyDescent="0.25">
      <c r="A85" s="67" t="s">
        <v>230</v>
      </c>
      <c r="B85" s="40">
        <v>43361</v>
      </c>
      <c r="C85" s="32">
        <v>8</v>
      </c>
      <c r="D85" s="32" t="s">
        <v>5</v>
      </c>
      <c r="E85" s="32" t="s">
        <v>233</v>
      </c>
      <c r="F85" s="40">
        <v>43362</v>
      </c>
      <c r="G85" s="32" t="s">
        <v>42</v>
      </c>
      <c r="H85" s="75">
        <f>_xlfn.IFNA(VLOOKUP(Output_Table[[#This Row],[Progress]],ProgressCalculation_List,6,FALSE),"")</f>
        <v>1.0000000000000002</v>
      </c>
      <c r="I85" s="76" t="s">
        <v>217</v>
      </c>
      <c r="J85" s="78">
        <v>43396</v>
      </c>
      <c r="K85" s="79">
        <v>8</v>
      </c>
      <c r="L85" s="81"/>
      <c r="M85" s="44">
        <v>43370.645833333336</v>
      </c>
      <c r="N85" s="53" t="s">
        <v>243</v>
      </c>
      <c r="O85" s="58"/>
      <c r="P85" s="50"/>
      <c r="Q85" s="29" t="s">
        <v>76</v>
      </c>
      <c r="R85" s="53">
        <v>2018</v>
      </c>
      <c r="S85" s="32" t="str">
        <f>TEXT(_xlfn.IFNA(VLOOKUP(Output_Table[[#This Row],[Month (Plan)]],OutupMonth_Table[#All],2,FALSE),""),"00")</f>
        <v>10</v>
      </c>
    </row>
    <row r="86" spans="1:19" x14ac:dyDescent="0.25">
      <c r="A86" s="67" t="s">
        <v>242</v>
      </c>
      <c r="B86" s="40">
        <v>43383</v>
      </c>
      <c r="C86" s="32">
        <v>8</v>
      </c>
      <c r="D86" s="32" t="s">
        <v>5</v>
      </c>
      <c r="E86" s="32"/>
      <c r="F86" s="32"/>
      <c r="G86" s="32" t="s">
        <v>42</v>
      </c>
      <c r="H86" s="75">
        <f>_xlfn.IFNA(VLOOKUP(Output_Table[[#This Row],[Progress]],ProgressCalculation_List,6,FALSE),"")</f>
        <v>1.0000000000000002</v>
      </c>
      <c r="I86" s="83" t="s">
        <v>217</v>
      </c>
      <c r="J86" s="84">
        <v>43398</v>
      </c>
      <c r="K86" s="79">
        <v>8</v>
      </c>
      <c r="L86" s="81"/>
      <c r="M86" s="32"/>
      <c r="N86" s="53"/>
      <c r="O86" s="58"/>
      <c r="P86" s="50"/>
      <c r="Q86" s="32" t="s">
        <v>76</v>
      </c>
      <c r="R86" s="53">
        <v>2018</v>
      </c>
      <c r="S86" s="32" t="str">
        <f>TEXT(_xlfn.IFNA(VLOOKUP(Output_Table[[#This Row],[Month (Plan)]],OutupMonth_Table[#All],2,FALSE),""),"00")</f>
        <v>10</v>
      </c>
    </row>
    <row r="87" spans="1:19" x14ac:dyDescent="0.25">
      <c r="A87" s="67" t="s">
        <v>248</v>
      </c>
      <c r="B87" s="40">
        <v>43391</v>
      </c>
      <c r="C87" s="32">
        <v>8</v>
      </c>
      <c r="D87" s="32" t="s">
        <v>5</v>
      </c>
      <c r="E87" s="32"/>
      <c r="F87" s="32"/>
      <c r="G87" s="32" t="s">
        <v>42</v>
      </c>
      <c r="H87" s="75">
        <f>_xlfn.IFNA(VLOOKUP(Output_Table[[#This Row],[Progress]],ProgressCalculation_List,6,FALSE),"")</f>
        <v>1.0000000000000002</v>
      </c>
      <c r="I87" s="83" t="s">
        <v>217</v>
      </c>
      <c r="J87" s="84">
        <v>43404</v>
      </c>
      <c r="K87" s="79">
        <v>8</v>
      </c>
      <c r="L87" s="85"/>
      <c r="M87" s="32"/>
      <c r="N87" s="53"/>
      <c r="O87" s="58"/>
      <c r="P87" s="50"/>
      <c r="Q87" s="32" t="s">
        <v>76</v>
      </c>
      <c r="R87" s="53">
        <v>2018</v>
      </c>
      <c r="S87" s="32" t="str">
        <f>TEXT(_xlfn.IFNA(VLOOKUP(Output_Table[[#This Row],[Month (Plan)]],OutupMonth_Table[#All],2,FALSE),""),"00")</f>
        <v>10</v>
      </c>
    </row>
    <row r="88" spans="1:19" ht="15" customHeight="1" x14ac:dyDescent="0.25">
      <c r="A88" s="67" t="s">
        <v>133</v>
      </c>
      <c r="B88" s="40">
        <v>43012</v>
      </c>
      <c r="C88" s="32">
        <v>8</v>
      </c>
      <c r="D88" s="32" t="s">
        <v>5</v>
      </c>
      <c r="E88" s="32" t="s">
        <v>81</v>
      </c>
      <c r="F88" s="45" t="s">
        <v>89</v>
      </c>
      <c r="G88" s="32" t="s">
        <v>42</v>
      </c>
      <c r="H88" s="75">
        <f>_xlfn.IFNA(VLOOKUP(Output_Table[[#This Row],[Progress]],ProgressCalculation_List,6,FALSE),"")</f>
        <v>1.0000000000000002</v>
      </c>
      <c r="I88" s="76"/>
      <c r="J88" s="78">
        <v>43045</v>
      </c>
      <c r="K88" s="79">
        <v>8</v>
      </c>
      <c r="L88" s="81"/>
      <c r="M88" s="44">
        <v>43028.520833333336</v>
      </c>
      <c r="N88" s="131" t="s">
        <v>103</v>
      </c>
      <c r="O88" s="29"/>
      <c r="P88" s="29"/>
      <c r="Q88" s="29" t="s">
        <v>88</v>
      </c>
      <c r="R88" s="53">
        <v>2017</v>
      </c>
      <c r="S88" s="32" t="str">
        <f>TEXT(_xlfn.IFNA(VLOOKUP(Output_Table[[#This Row],[Month (Plan)]],OutupMonth_Table[#All],2,FALSE),""),"00")</f>
        <v>11</v>
      </c>
    </row>
    <row r="89" spans="1:19" x14ac:dyDescent="0.25">
      <c r="A89" s="67" t="s">
        <v>134</v>
      </c>
      <c r="B89" s="40">
        <v>43025</v>
      </c>
      <c r="C89" s="32">
        <v>8</v>
      </c>
      <c r="D89" s="32" t="s">
        <v>5</v>
      </c>
      <c r="E89" s="32"/>
      <c r="F89" s="32"/>
      <c r="G89" s="32" t="s">
        <v>42</v>
      </c>
      <c r="H89" s="75">
        <f>_xlfn.IFNA(VLOOKUP(Output_Table[[#This Row],[Progress]],ProgressCalculation_List,6,FALSE),"")</f>
        <v>1.0000000000000002</v>
      </c>
      <c r="I89" s="76"/>
      <c r="J89" s="78">
        <v>43047</v>
      </c>
      <c r="K89" s="79">
        <v>8</v>
      </c>
      <c r="L89" s="81"/>
      <c r="M89" s="44">
        <v>43031.541666666664</v>
      </c>
      <c r="N89" s="53"/>
      <c r="O89" s="29"/>
      <c r="P89" s="29"/>
      <c r="Q89" s="29" t="s">
        <v>88</v>
      </c>
      <c r="R89" s="53">
        <v>2017</v>
      </c>
      <c r="S89" s="32" t="str">
        <f>TEXT(_xlfn.IFNA(VLOOKUP(Output_Table[[#This Row],[Month (Plan)]],OutupMonth_Table[#All],2,FALSE),""),"00")</f>
        <v>11</v>
      </c>
    </row>
    <row r="90" spans="1:19" ht="30" x14ac:dyDescent="0.25">
      <c r="A90" s="67" t="s">
        <v>135</v>
      </c>
      <c r="B90" s="40">
        <v>43025</v>
      </c>
      <c r="C90" s="32">
        <v>8</v>
      </c>
      <c r="D90" s="32" t="s">
        <v>5</v>
      </c>
      <c r="E90" s="32" t="s">
        <v>87</v>
      </c>
      <c r="F90" s="45" t="s">
        <v>86</v>
      </c>
      <c r="G90" s="32" t="s">
        <v>42</v>
      </c>
      <c r="H90" s="75">
        <f>_xlfn.IFNA(VLOOKUP(Output_Table[[#This Row],[Progress]],ProgressCalculation_List,6,FALSE),"")</f>
        <v>1.0000000000000002</v>
      </c>
      <c r="I90" s="76"/>
      <c r="J90" s="78">
        <v>43049</v>
      </c>
      <c r="K90" s="79">
        <v>7</v>
      </c>
      <c r="L90" s="81"/>
      <c r="M90" s="44">
        <v>43039.677083333336</v>
      </c>
      <c r="N90" s="53" t="s">
        <v>101</v>
      </c>
      <c r="O90" s="29"/>
      <c r="P90" s="29"/>
      <c r="Q90" s="29" t="s">
        <v>88</v>
      </c>
      <c r="R90" s="53">
        <v>2017</v>
      </c>
      <c r="S90" s="32" t="str">
        <f>TEXT(_xlfn.IFNA(VLOOKUP(Output_Table[[#This Row],[Month (Plan)]],OutupMonth_Table[#All],2,FALSE),""),"00")</f>
        <v>11</v>
      </c>
    </row>
    <row r="91" spans="1:19" ht="60" x14ac:dyDescent="0.25">
      <c r="A91" s="67" t="s">
        <v>136</v>
      </c>
      <c r="B91" s="40">
        <v>43035</v>
      </c>
      <c r="C91" s="32">
        <v>8</v>
      </c>
      <c r="D91" s="32" t="s">
        <v>5</v>
      </c>
      <c r="E91" s="32"/>
      <c r="F91" s="32"/>
      <c r="G91" s="32" t="s">
        <v>42</v>
      </c>
      <c r="H91" s="75">
        <f>_xlfn.IFNA(VLOOKUP(Output_Table[[#This Row],[Progress]],ProgressCalculation_List,6,FALSE),"")</f>
        <v>1.0000000000000002</v>
      </c>
      <c r="I91" s="76"/>
      <c r="J91" s="78">
        <v>43054</v>
      </c>
      <c r="K91" s="79">
        <v>8</v>
      </c>
      <c r="L91" s="81"/>
      <c r="M91" s="44">
        <v>43039.729166666664</v>
      </c>
      <c r="N91" s="131" t="s">
        <v>102</v>
      </c>
      <c r="O91" s="29"/>
      <c r="P91" s="29"/>
      <c r="Q91" s="29" t="s">
        <v>88</v>
      </c>
      <c r="R91" s="53">
        <v>2017</v>
      </c>
      <c r="S91" s="32" t="str">
        <f>TEXT(_xlfn.IFNA(VLOOKUP(Output_Table[[#This Row],[Month (Plan)]],OutupMonth_Table[#All],2,FALSE),""),"00")</f>
        <v>11</v>
      </c>
    </row>
    <row r="92" spans="1:19" x14ac:dyDescent="0.25">
      <c r="A92" s="67" t="s">
        <v>137</v>
      </c>
      <c r="B92" s="40">
        <v>43035</v>
      </c>
      <c r="C92" s="32">
        <v>8</v>
      </c>
      <c r="D92" s="32" t="s">
        <v>5</v>
      </c>
      <c r="E92" s="32"/>
      <c r="F92" s="32"/>
      <c r="G92" s="32" t="s">
        <v>42</v>
      </c>
      <c r="H92" s="75">
        <f>_xlfn.IFNA(VLOOKUP(Output_Table[[#This Row],[Progress]],ProgressCalculation_List,6,FALSE),"")</f>
        <v>1.0000000000000002</v>
      </c>
      <c r="I92" s="76"/>
      <c r="J92" s="78">
        <v>43063</v>
      </c>
      <c r="K92" s="79">
        <v>8</v>
      </c>
      <c r="L92" s="81"/>
      <c r="M92" s="32"/>
      <c r="N92" s="53"/>
      <c r="O92" s="29"/>
      <c r="P92" s="29"/>
      <c r="Q92" s="29" t="s">
        <v>88</v>
      </c>
      <c r="R92" s="53">
        <v>2017</v>
      </c>
      <c r="S92" s="32" t="str">
        <f>TEXT(_xlfn.IFNA(VLOOKUP(Output_Table[[#This Row],[Month (Plan)]],OutupMonth_Table[#All],2,FALSE),""),"00")</f>
        <v>11</v>
      </c>
    </row>
    <row r="93" spans="1:19" x14ac:dyDescent="0.25">
      <c r="A93" s="67" t="s">
        <v>138</v>
      </c>
      <c r="B93" s="40">
        <v>43039</v>
      </c>
      <c r="C93" s="32">
        <v>8</v>
      </c>
      <c r="D93" s="32" t="s">
        <v>5</v>
      </c>
      <c r="E93" s="32"/>
      <c r="F93" s="32"/>
      <c r="G93" s="32" t="s">
        <v>42</v>
      </c>
      <c r="H93" s="75">
        <f>_xlfn.IFNA(VLOOKUP(Output_Table[[#This Row],[Progress]],ProgressCalculation_List,6,FALSE),"")</f>
        <v>1.0000000000000002</v>
      </c>
      <c r="I93" s="76"/>
      <c r="J93" s="78">
        <v>43063</v>
      </c>
      <c r="K93" s="79">
        <v>8</v>
      </c>
      <c r="L93" s="81"/>
      <c r="M93" s="32"/>
      <c r="N93" s="53"/>
      <c r="O93" s="29"/>
      <c r="P93" s="29"/>
      <c r="Q93" s="29" t="s">
        <v>88</v>
      </c>
      <c r="R93" s="53">
        <v>2017</v>
      </c>
      <c r="S93" s="32" t="str">
        <f>TEXT(_xlfn.IFNA(VLOOKUP(Output_Table[[#This Row],[Month (Plan)]],OutupMonth_Table[#All],2,FALSE),""),"00")</f>
        <v>11</v>
      </c>
    </row>
    <row r="94" spans="1:19" x14ac:dyDescent="0.25">
      <c r="A94" s="67" t="s">
        <v>139</v>
      </c>
      <c r="B94" s="40">
        <v>43039</v>
      </c>
      <c r="C94" s="32">
        <v>8</v>
      </c>
      <c r="D94" s="32" t="s">
        <v>5</v>
      </c>
      <c r="E94" s="32"/>
      <c r="F94" s="32"/>
      <c r="G94" s="32" t="s">
        <v>42</v>
      </c>
      <c r="H94" s="75">
        <f>_xlfn.IFNA(VLOOKUP(Output_Table[[#This Row],[Progress]],ProgressCalculation_List,6,FALSE),"")</f>
        <v>1.0000000000000002</v>
      </c>
      <c r="I94" s="76"/>
      <c r="J94" s="78">
        <v>43069</v>
      </c>
      <c r="K94" s="79">
        <v>8</v>
      </c>
      <c r="L94" s="81"/>
      <c r="M94" s="32"/>
      <c r="N94" s="53"/>
      <c r="O94" s="29"/>
      <c r="P94" s="29"/>
      <c r="Q94" s="29" t="s">
        <v>88</v>
      </c>
      <c r="R94" s="53">
        <v>2017</v>
      </c>
      <c r="S94" s="32" t="str">
        <f>TEXT(_xlfn.IFNA(VLOOKUP(Output_Table[[#This Row],[Month (Plan)]],OutupMonth_Table[#All],2,FALSE),""),"00")</f>
        <v>11</v>
      </c>
    </row>
    <row r="95" spans="1:19" x14ac:dyDescent="0.25">
      <c r="A95" s="67" t="s">
        <v>140</v>
      </c>
      <c r="B95" s="40">
        <v>43039</v>
      </c>
      <c r="C95" s="32">
        <v>8</v>
      </c>
      <c r="D95" s="32" t="s">
        <v>5</v>
      </c>
      <c r="E95" s="32"/>
      <c r="F95" s="32"/>
      <c r="G95" s="32" t="s">
        <v>42</v>
      </c>
      <c r="H95" s="75">
        <f>_xlfn.IFNA(VLOOKUP(Output_Table[[#This Row],[Progress]],ProgressCalculation_List,6,FALSE),"")</f>
        <v>1.0000000000000002</v>
      </c>
      <c r="I95" s="76"/>
      <c r="J95" s="78">
        <v>43069</v>
      </c>
      <c r="K95" s="79">
        <v>8</v>
      </c>
      <c r="L95" s="81"/>
      <c r="M95" s="32"/>
      <c r="N95" s="53"/>
      <c r="O95" s="29"/>
      <c r="P95" s="29"/>
      <c r="Q95" s="29" t="s">
        <v>88</v>
      </c>
      <c r="R95" s="53">
        <v>2017</v>
      </c>
      <c r="S95" s="32" t="str">
        <f>TEXT(_xlfn.IFNA(VLOOKUP(Output_Table[[#This Row],[Month (Plan)]],OutupMonth_Table[#All],2,FALSE),""),"00")</f>
        <v>11</v>
      </c>
    </row>
    <row r="96" spans="1:19" ht="30" x14ac:dyDescent="0.25">
      <c r="A96" s="67" t="s">
        <v>249</v>
      </c>
      <c r="B96" s="40">
        <v>43392</v>
      </c>
      <c r="C96" s="32">
        <v>8</v>
      </c>
      <c r="D96" s="32" t="s">
        <v>5</v>
      </c>
      <c r="E96" s="41" t="s">
        <v>296</v>
      </c>
      <c r="F96" s="86" t="s">
        <v>297</v>
      </c>
      <c r="G96" s="32" t="s">
        <v>42</v>
      </c>
      <c r="H96" s="75">
        <f>_xlfn.IFNA(VLOOKUP(Output_Table[[#This Row],[Progress]],ProgressCalculation_List,6,FALSE),"")</f>
        <v>1.0000000000000002</v>
      </c>
      <c r="I96" s="83" t="s">
        <v>217</v>
      </c>
      <c r="J96" s="84">
        <v>43426</v>
      </c>
      <c r="K96" s="79">
        <v>8</v>
      </c>
      <c r="L96" s="81"/>
      <c r="M96" s="44">
        <v>43404.659722222219</v>
      </c>
      <c r="N96" s="53" t="s">
        <v>173</v>
      </c>
      <c r="O96" s="58">
        <v>0</v>
      </c>
      <c r="P96">
        <v>40</v>
      </c>
      <c r="Q96" s="32" t="s">
        <v>88</v>
      </c>
      <c r="R96" s="53">
        <v>2018</v>
      </c>
      <c r="S96" s="32" t="str">
        <f>TEXT(_xlfn.IFNA(VLOOKUP(Output_Table[[#This Row],[Month (Plan)]],OutupMonth_Table[#All],2,FALSE),""),"00")</f>
        <v>11</v>
      </c>
    </row>
    <row r="97" spans="1:19" ht="30" x14ac:dyDescent="0.25">
      <c r="A97" s="67" t="s">
        <v>250</v>
      </c>
      <c r="B97" s="40">
        <v>43403</v>
      </c>
      <c r="C97" s="32">
        <v>8</v>
      </c>
      <c r="D97" s="32" t="s">
        <v>5</v>
      </c>
      <c r="E97" s="41" t="s">
        <v>298</v>
      </c>
      <c r="F97" s="86" t="s">
        <v>297</v>
      </c>
      <c r="G97" s="32" t="s">
        <v>42</v>
      </c>
      <c r="H97" s="75">
        <f>_xlfn.IFNA(VLOOKUP(Output_Table[[#This Row],[Progress]],ProgressCalculation_List,6,FALSE),"")</f>
        <v>1.0000000000000002</v>
      </c>
      <c r="I97" s="83" t="s">
        <v>217</v>
      </c>
      <c r="J97" s="84">
        <v>43426</v>
      </c>
      <c r="K97" s="79">
        <v>8</v>
      </c>
      <c r="L97" s="81"/>
      <c r="M97" s="44">
        <v>43404.552083333336</v>
      </c>
      <c r="N97" s="53" t="s">
        <v>173</v>
      </c>
      <c r="O97" s="50"/>
      <c r="P97" s="50"/>
      <c r="Q97" s="32" t="s">
        <v>88</v>
      </c>
      <c r="R97" s="53">
        <v>2018</v>
      </c>
      <c r="S97" s="32" t="str">
        <f>TEXT(_xlfn.IFNA(VLOOKUP(Output_Table[[#This Row],[Month (Plan)]],OutupMonth_Table[#All],2,FALSE),""),"00")</f>
        <v>11</v>
      </c>
    </row>
    <row r="98" spans="1:19" ht="30" x14ac:dyDescent="0.25">
      <c r="A98" s="67" t="s">
        <v>251</v>
      </c>
      <c r="B98" s="40">
        <v>43403</v>
      </c>
      <c r="C98" s="32">
        <v>8</v>
      </c>
      <c r="D98" s="32" t="s">
        <v>5</v>
      </c>
      <c r="E98" s="41" t="s">
        <v>299</v>
      </c>
      <c r="F98" s="86" t="s">
        <v>297</v>
      </c>
      <c r="G98" s="32" t="s">
        <v>42</v>
      </c>
      <c r="H98" s="75">
        <f>_xlfn.IFNA(VLOOKUP(Output_Table[[#This Row],[Progress]],ProgressCalculation_List,6,FALSE),"")</f>
        <v>1.0000000000000002</v>
      </c>
      <c r="I98" s="83" t="s">
        <v>217</v>
      </c>
      <c r="J98" s="84">
        <v>43432</v>
      </c>
      <c r="K98" s="79">
        <v>8</v>
      </c>
      <c r="L98" s="81"/>
      <c r="M98" s="32"/>
      <c r="N98" s="53" t="s">
        <v>173</v>
      </c>
      <c r="O98" s="50"/>
      <c r="P98" s="50"/>
      <c r="Q98" s="32" t="s">
        <v>88</v>
      </c>
      <c r="R98" s="53">
        <v>2018</v>
      </c>
      <c r="S98" s="32" t="str">
        <f>TEXT(_xlfn.IFNA(VLOOKUP(Output_Table[[#This Row],[Month (Plan)]],OutupMonth_Table[#All],2,FALSE),""),"00")</f>
        <v>11</v>
      </c>
    </row>
    <row r="99" spans="1:19" x14ac:dyDescent="0.25">
      <c r="A99" s="67" t="s">
        <v>252</v>
      </c>
      <c r="B99" s="40">
        <v>43411</v>
      </c>
      <c r="C99" s="32">
        <v>8</v>
      </c>
      <c r="D99" s="32" t="s">
        <v>5</v>
      </c>
      <c r="E99" s="32" t="s">
        <v>300</v>
      </c>
      <c r="F99" s="40">
        <v>43423</v>
      </c>
      <c r="G99" s="32" t="s">
        <v>42</v>
      </c>
      <c r="H99" s="75">
        <f>_xlfn.IFNA(VLOOKUP(Output_Table[[#This Row],[Progress]],ProgressCalculation_List,6,FALSE),"")</f>
        <v>1.0000000000000002</v>
      </c>
      <c r="I99" s="83" t="s">
        <v>217</v>
      </c>
      <c r="J99" s="84">
        <v>43432</v>
      </c>
      <c r="K99" s="79">
        <v>7</v>
      </c>
      <c r="L99" s="81" t="s">
        <v>310</v>
      </c>
      <c r="M99" s="44">
        <v>43413.552083333336</v>
      </c>
      <c r="N99" s="53" t="s">
        <v>173</v>
      </c>
      <c r="O99" s="50"/>
      <c r="P99" s="50"/>
      <c r="Q99" s="32" t="s">
        <v>88</v>
      </c>
      <c r="R99" s="53">
        <v>2018</v>
      </c>
      <c r="S99" s="32" t="str">
        <f>TEXT(_xlfn.IFNA(VLOOKUP(Output_Table[[#This Row],[Month (Plan)]],OutupMonth_Table[#All],2,FALSE),""),"00")</f>
        <v>11</v>
      </c>
    </row>
    <row r="100" spans="1:19" x14ac:dyDescent="0.25">
      <c r="A100" s="67" t="s">
        <v>254</v>
      </c>
      <c r="B100" s="40">
        <v>43412</v>
      </c>
      <c r="C100" s="32">
        <v>8</v>
      </c>
      <c r="D100" s="32" t="s">
        <v>5</v>
      </c>
      <c r="E100" s="32" t="s">
        <v>300</v>
      </c>
      <c r="F100" s="40">
        <v>43423</v>
      </c>
      <c r="G100" s="32" t="s">
        <v>42</v>
      </c>
      <c r="H100" s="75">
        <f>_xlfn.IFNA(VLOOKUP(Output_Table[[#This Row],[Progress]],ProgressCalculation_List,6,FALSE),"")</f>
        <v>1.0000000000000002</v>
      </c>
      <c r="I100" s="83" t="s">
        <v>217</v>
      </c>
      <c r="J100" s="84">
        <v>43432</v>
      </c>
      <c r="K100" s="79">
        <v>8</v>
      </c>
      <c r="L100" s="81"/>
      <c r="M100" s="44">
        <v>43416.645833333336</v>
      </c>
      <c r="N100" s="134" t="s">
        <v>173</v>
      </c>
      <c r="O100" s="58"/>
      <c r="P100" s="50"/>
      <c r="Q100" s="32" t="s">
        <v>88</v>
      </c>
      <c r="R100" s="53">
        <v>2018</v>
      </c>
      <c r="S100" s="32" t="str">
        <f>TEXT(_xlfn.IFNA(VLOOKUP(Output_Table[[#This Row],[Month (Plan)]],OutupMonth_Table[#All],2,FALSE),""),"00")</f>
        <v>11</v>
      </c>
    </row>
    <row r="101" spans="1:19" ht="45" x14ac:dyDescent="0.25">
      <c r="A101" s="67" t="s">
        <v>141</v>
      </c>
      <c r="B101" s="40">
        <v>43039</v>
      </c>
      <c r="C101" s="32">
        <v>8</v>
      </c>
      <c r="D101" s="32" t="s">
        <v>5</v>
      </c>
      <c r="E101" s="32"/>
      <c r="F101" s="32"/>
      <c r="G101" s="32" t="s">
        <v>42</v>
      </c>
      <c r="H101" s="75">
        <f>_xlfn.IFNA(VLOOKUP(Output_Table[[#This Row],[Progress]],ProgressCalculation_List,6,FALSE),"")</f>
        <v>1.0000000000000002</v>
      </c>
      <c r="I101" s="76"/>
      <c r="J101" s="78">
        <v>43084</v>
      </c>
      <c r="K101" s="79">
        <v>7</v>
      </c>
      <c r="L101" s="35" t="s">
        <v>104</v>
      </c>
      <c r="M101" s="44">
        <v>43055.458333333336</v>
      </c>
      <c r="N101" s="53"/>
      <c r="O101" s="29">
        <v>0</v>
      </c>
      <c r="P101" s="29">
        <v>0</v>
      </c>
      <c r="Q101" s="29" t="s">
        <v>99</v>
      </c>
      <c r="R101" s="53">
        <v>2017</v>
      </c>
      <c r="S101" s="32" t="str">
        <f>TEXT(_xlfn.IFNA(VLOOKUP(Output_Table[[#This Row],[Month (Plan)]],OutupMonth_Table[#All],2,FALSE),""),"00")</f>
        <v>12</v>
      </c>
    </row>
    <row r="102" spans="1:19" ht="30" x14ac:dyDescent="0.25">
      <c r="A102" s="67" t="s">
        <v>142</v>
      </c>
      <c r="B102" s="40">
        <v>43054</v>
      </c>
      <c r="C102" s="32">
        <v>8</v>
      </c>
      <c r="D102" s="32" t="s">
        <v>5</v>
      </c>
      <c r="E102" s="32"/>
      <c r="F102" s="32"/>
      <c r="G102" s="32" t="s">
        <v>42</v>
      </c>
      <c r="H102" s="75">
        <f>_xlfn.IFNA(VLOOKUP(Output_Table[[#This Row],[Progress]],ProgressCalculation_List,6,FALSE),"")</f>
        <v>1.0000000000000002</v>
      </c>
      <c r="I102" s="76"/>
      <c r="J102" s="78">
        <v>43084</v>
      </c>
      <c r="K102" s="79">
        <v>8</v>
      </c>
      <c r="L102" s="81"/>
      <c r="M102" s="44">
        <v>43060.486111111109</v>
      </c>
      <c r="N102" s="131" t="s">
        <v>147</v>
      </c>
      <c r="O102" s="29"/>
      <c r="P102" s="29"/>
      <c r="Q102" s="29" t="s">
        <v>99</v>
      </c>
      <c r="R102" s="53">
        <v>2017</v>
      </c>
      <c r="S102" s="32" t="str">
        <f>TEXT(_xlfn.IFNA(VLOOKUP(Output_Table[[#This Row],[Month (Plan)]],OutupMonth_Table[#All],2,FALSE),""),"00")</f>
        <v>12</v>
      </c>
    </row>
    <row r="103" spans="1:19" ht="45" x14ac:dyDescent="0.25">
      <c r="A103" s="67" t="s">
        <v>143</v>
      </c>
      <c r="B103" s="40">
        <v>43054</v>
      </c>
      <c r="C103" s="32">
        <v>8</v>
      </c>
      <c r="D103" s="32" t="s">
        <v>5</v>
      </c>
      <c r="E103" s="32"/>
      <c r="F103" s="32"/>
      <c r="G103" s="32" t="s">
        <v>42</v>
      </c>
      <c r="H103" s="75">
        <f>_xlfn.IFNA(VLOOKUP(Output_Table[[#This Row],[Progress]],ProgressCalculation_List,6,FALSE),"")</f>
        <v>1.0000000000000002</v>
      </c>
      <c r="I103" s="76"/>
      <c r="J103" s="78">
        <v>43091</v>
      </c>
      <c r="K103" s="79">
        <v>8</v>
      </c>
      <c r="L103" s="81"/>
      <c r="M103" s="44">
        <v>43073.666666666664</v>
      </c>
      <c r="N103" s="131" t="s">
        <v>155</v>
      </c>
      <c r="O103" s="29"/>
      <c r="P103" s="29"/>
      <c r="Q103" s="29" t="s">
        <v>99</v>
      </c>
      <c r="R103" s="53">
        <v>2017</v>
      </c>
      <c r="S103" s="32" t="str">
        <f>TEXT(_xlfn.IFNA(VLOOKUP(Output_Table[[#This Row],[Month (Plan)]],OutupMonth_Table[#All],2,FALSE),""),"00")</f>
        <v>12</v>
      </c>
    </row>
    <row r="104" spans="1:19" ht="45" x14ac:dyDescent="0.25">
      <c r="A104" s="67" t="s">
        <v>144</v>
      </c>
      <c r="B104" s="40">
        <v>43054</v>
      </c>
      <c r="C104" s="32">
        <v>8</v>
      </c>
      <c r="D104" s="32" t="s">
        <v>5</v>
      </c>
      <c r="E104" s="32"/>
      <c r="F104" s="32"/>
      <c r="G104" s="32" t="s">
        <v>42</v>
      </c>
      <c r="H104" s="75">
        <f>_xlfn.IFNA(VLOOKUP(Output_Table[[#This Row],[Progress]],ProgressCalculation_List,6,FALSE),"")</f>
        <v>1.0000000000000002</v>
      </c>
      <c r="I104" s="76"/>
      <c r="J104" s="78">
        <v>43091</v>
      </c>
      <c r="K104" s="79">
        <v>8</v>
      </c>
      <c r="L104" s="81"/>
      <c r="M104" s="44">
        <v>43073.666666666664</v>
      </c>
      <c r="N104" s="131" t="s">
        <v>155</v>
      </c>
      <c r="O104" s="29"/>
      <c r="P104" s="29"/>
      <c r="Q104" s="29" t="s">
        <v>99</v>
      </c>
      <c r="R104" s="53">
        <v>2017</v>
      </c>
      <c r="S104" s="32" t="str">
        <f>TEXT(_xlfn.IFNA(VLOOKUP(Output_Table[[#This Row],[Month (Plan)]],OutupMonth_Table[#All],2,FALSE),""),"00")</f>
        <v>12</v>
      </c>
    </row>
    <row r="105" spans="1:19" ht="30" x14ac:dyDescent="0.25">
      <c r="A105" s="67" t="s">
        <v>145</v>
      </c>
      <c r="B105" s="40">
        <v>43060</v>
      </c>
      <c r="C105" s="32">
        <v>8</v>
      </c>
      <c r="D105" s="32" t="s">
        <v>5</v>
      </c>
      <c r="E105" s="32"/>
      <c r="F105" s="32"/>
      <c r="G105" s="32" t="s">
        <v>42</v>
      </c>
      <c r="H105" s="75">
        <f>_xlfn.IFNA(VLOOKUP(Output_Table[[#This Row],[Progress]],ProgressCalculation_List,6,FALSE),"")</f>
        <v>1.0000000000000002</v>
      </c>
      <c r="I105" s="76"/>
      <c r="J105" s="78">
        <v>43091</v>
      </c>
      <c r="K105" s="79">
        <v>8</v>
      </c>
      <c r="L105" s="81"/>
      <c r="M105" s="44">
        <v>43075.520833333336</v>
      </c>
      <c r="N105" s="131" t="s">
        <v>156</v>
      </c>
      <c r="O105" s="29"/>
      <c r="P105" s="29"/>
      <c r="Q105" s="29" t="s">
        <v>99</v>
      </c>
      <c r="R105" s="53">
        <v>2017</v>
      </c>
      <c r="S105" s="32" t="str">
        <f>TEXT(_xlfn.IFNA(VLOOKUP(Output_Table[[#This Row],[Month (Plan)]],OutupMonth_Table[#All],2,FALSE),""),"00")</f>
        <v>12</v>
      </c>
    </row>
    <row r="106" spans="1:19" x14ac:dyDescent="0.25">
      <c r="A106" s="67" t="s">
        <v>294</v>
      </c>
      <c r="B106" s="40">
        <v>43419</v>
      </c>
      <c r="C106" s="32">
        <v>8</v>
      </c>
      <c r="D106" s="32" t="s">
        <v>5</v>
      </c>
      <c r="E106" s="32" t="s">
        <v>300</v>
      </c>
      <c r="F106" s="40">
        <v>43423</v>
      </c>
      <c r="G106" s="32" t="s">
        <v>42</v>
      </c>
      <c r="H106" s="75">
        <f>_xlfn.IFNA(VLOOKUP(Output_Table[[#This Row],[Progress]],ProgressCalculation_List,6,FALSE),"")</f>
        <v>1.0000000000000002</v>
      </c>
      <c r="I106" s="83" t="s">
        <v>217</v>
      </c>
      <c r="J106" s="84">
        <v>43441</v>
      </c>
      <c r="K106" s="79">
        <v>8</v>
      </c>
      <c r="L106" s="81"/>
      <c r="M106" s="32"/>
      <c r="N106" s="53"/>
      <c r="O106" s="50">
        <v>0</v>
      </c>
      <c r="P106" s="50">
        <v>40</v>
      </c>
      <c r="Q106" s="32" t="s">
        <v>99</v>
      </c>
      <c r="R106" s="53">
        <v>2018</v>
      </c>
      <c r="S106" s="32" t="str">
        <f>TEXT(_xlfn.IFNA(VLOOKUP(Output_Table[[#This Row],[Month (Plan)]],OutupMonth_Table[#All],2,FALSE),""),"00")</f>
        <v>12</v>
      </c>
    </row>
    <row r="107" spans="1:19" ht="30" x14ac:dyDescent="0.25">
      <c r="A107" s="67" t="s">
        <v>295</v>
      </c>
      <c r="B107" s="40">
        <v>43419</v>
      </c>
      <c r="C107" s="32">
        <v>8</v>
      </c>
      <c r="D107" s="32" t="s">
        <v>5</v>
      </c>
      <c r="E107" s="41" t="s">
        <v>301</v>
      </c>
      <c r="F107" s="86" t="s">
        <v>302</v>
      </c>
      <c r="G107" s="32" t="s">
        <v>42</v>
      </c>
      <c r="H107" s="75">
        <f>_xlfn.IFNA(VLOOKUP(Output_Table[[#This Row],[Progress]],ProgressCalculation_List,6,FALSE),"")</f>
        <v>1.0000000000000002</v>
      </c>
      <c r="I107" s="83" t="s">
        <v>217</v>
      </c>
      <c r="J107" s="84">
        <v>43441</v>
      </c>
      <c r="K107" s="79">
        <v>8</v>
      </c>
      <c r="L107" s="81"/>
      <c r="M107" s="32"/>
      <c r="N107" s="53"/>
      <c r="O107" s="50"/>
      <c r="P107" s="50"/>
      <c r="Q107" s="32" t="s">
        <v>99</v>
      </c>
      <c r="R107" s="53">
        <v>2018</v>
      </c>
      <c r="S107" s="32" t="str">
        <f>TEXT(_xlfn.IFNA(VLOOKUP(Output_Table[[#This Row],[Month (Plan)]],OutupMonth_Table[#All],2,FALSE),""),"00")</f>
        <v>12</v>
      </c>
    </row>
    <row r="108" spans="1:19" ht="120.75" x14ac:dyDescent="0.25">
      <c r="A108" s="67" t="s">
        <v>306</v>
      </c>
      <c r="B108" s="40">
        <v>43426</v>
      </c>
      <c r="C108" s="32">
        <v>8</v>
      </c>
      <c r="D108" s="32" t="s">
        <v>5</v>
      </c>
      <c r="E108" s="32" t="s">
        <v>307</v>
      </c>
      <c r="F108" s="40">
        <v>43437</v>
      </c>
      <c r="G108" s="32" t="s">
        <v>42</v>
      </c>
      <c r="H108" s="75">
        <f>_xlfn.IFNA(VLOOKUP(Output_Table[[#This Row],[Progress]],ProgressCalculation_List,6,FALSE),"")</f>
        <v>1.0000000000000002</v>
      </c>
      <c r="I108" s="83" t="s">
        <v>217</v>
      </c>
      <c r="J108" s="84">
        <v>43453</v>
      </c>
      <c r="K108" s="79">
        <v>8</v>
      </c>
      <c r="L108" s="81"/>
      <c r="M108" s="44">
        <v>43439.361111111109</v>
      </c>
      <c r="N108" s="137" t="s">
        <v>319</v>
      </c>
      <c r="O108" s="50"/>
      <c r="P108" s="50"/>
      <c r="Q108" s="32" t="s">
        <v>99</v>
      </c>
      <c r="R108" s="53">
        <v>2018</v>
      </c>
      <c r="S108" s="32" t="str">
        <f>TEXT(_xlfn.IFNA(VLOOKUP(Output_Table[[#This Row],[Month (Plan)]],OutupMonth_Table[#All],2,FALSE),""),"00")</f>
        <v>12</v>
      </c>
    </row>
    <row r="109" spans="1:19" ht="60" x14ac:dyDescent="0.25">
      <c r="A109" s="67" t="s">
        <v>305</v>
      </c>
      <c r="B109" s="40">
        <v>43426</v>
      </c>
      <c r="C109" s="32">
        <v>8</v>
      </c>
      <c r="D109" s="32" t="s">
        <v>5</v>
      </c>
      <c r="E109" s="32"/>
      <c r="F109" s="40"/>
      <c r="G109" s="32" t="s">
        <v>42</v>
      </c>
      <c r="H109" s="75">
        <f>_xlfn.IFNA(VLOOKUP(Output_Table[[#This Row],[Progress]],ProgressCalculation_List,6,FALSE),"")</f>
        <v>1.0000000000000002</v>
      </c>
      <c r="I109" s="83" t="s">
        <v>217</v>
      </c>
      <c r="J109" s="84">
        <v>43453</v>
      </c>
      <c r="K109" s="79">
        <v>8</v>
      </c>
      <c r="L109" s="81"/>
      <c r="M109" s="32"/>
      <c r="N109" s="131" t="s">
        <v>320</v>
      </c>
      <c r="O109" s="50"/>
      <c r="P109" s="50"/>
      <c r="Q109" s="32" t="s">
        <v>99</v>
      </c>
      <c r="R109" s="53">
        <v>2018</v>
      </c>
      <c r="S109" s="32" t="str">
        <f>TEXT(_xlfn.IFNA(VLOOKUP(Output_Table[[#This Row],[Month (Plan)]],OutupMonth_Table[#All],2,FALSE),""),"00")</f>
        <v>12</v>
      </c>
    </row>
    <row r="110" spans="1:19" x14ac:dyDescent="0.25">
      <c r="A110" s="67" t="s">
        <v>308</v>
      </c>
      <c r="B110" s="40">
        <v>43431</v>
      </c>
      <c r="C110" s="32">
        <v>8</v>
      </c>
      <c r="D110" s="32" t="s">
        <v>5</v>
      </c>
      <c r="E110" s="32" t="s">
        <v>307</v>
      </c>
      <c r="F110" s="40">
        <v>43437</v>
      </c>
      <c r="G110" s="32" t="s">
        <v>42</v>
      </c>
      <c r="H110" s="75">
        <f>_xlfn.IFNA(VLOOKUP(Output_Table[[#This Row],[Progress]],ProgressCalculation_List,6,FALSE),"")</f>
        <v>1.0000000000000002</v>
      </c>
      <c r="I110" s="83" t="s">
        <v>217</v>
      </c>
      <c r="J110" s="84">
        <v>43454</v>
      </c>
      <c r="K110" s="79">
        <v>8</v>
      </c>
      <c r="L110" s="81"/>
      <c r="M110" s="44">
        <v>43440.395833333336</v>
      </c>
      <c r="N110" s="53"/>
      <c r="O110" s="50"/>
      <c r="P110" s="50"/>
      <c r="Q110" s="32" t="s">
        <v>99</v>
      </c>
      <c r="R110" s="53">
        <v>2018</v>
      </c>
      <c r="S110" s="32" t="str">
        <f>TEXT(_xlfn.IFNA(VLOOKUP(Output_Table[[#This Row],[Month (Plan)]],OutupMonth_Table[#All],2,FALSE),""),"00")</f>
        <v>12</v>
      </c>
    </row>
  </sheetData>
  <mergeCells count="3">
    <mergeCell ref="O2:R2"/>
    <mergeCell ref="H2:K2"/>
    <mergeCell ref="A1:M1"/>
  </mergeCells>
  <conditionalFormatting sqref="E4:E110">
    <cfRule type="expression" dxfId="77" priority="145">
      <formula>$D4="Yes"</formula>
    </cfRule>
  </conditionalFormatting>
  <conditionalFormatting sqref="G4:G110">
    <cfRule type="cellIs" dxfId="76" priority="134" operator="equal">
      <formula>"19. Despatch"</formula>
    </cfRule>
    <cfRule type="cellIs" dxfId="75" priority="136" operator="equal">
      <formula>"18. Final inspection"</formula>
    </cfRule>
    <cfRule type="cellIs" dxfId="74" priority="147" operator="equal">
      <formula>"20. Fail"</formula>
    </cfRule>
    <cfRule type="cellIs" dxfId="73" priority="148" operator="equal">
      <formula>"20. Out"</formula>
    </cfRule>
  </conditionalFormatting>
  <conditionalFormatting sqref="D4:D110">
    <cfRule type="cellIs" dxfId="72" priority="141" operator="equal">
      <formula>"Yes"</formula>
    </cfRule>
  </conditionalFormatting>
  <conditionalFormatting sqref="O2">
    <cfRule type="expression" dxfId="71" priority="92">
      <formula>$D2="Yes"</formula>
    </cfRule>
  </conditionalFormatting>
  <conditionalFormatting sqref="Q4:Q88">
    <cfRule type="cellIs" dxfId="70" priority="117" operator="equal">
      <formula>"August"</formula>
    </cfRule>
  </conditionalFormatting>
  <conditionalFormatting sqref="Q4:Q110">
    <cfRule type="cellIs" dxfId="69" priority="113" operator="equal">
      <formula>"December"</formula>
    </cfRule>
    <cfRule type="cellIs" dxfId="68" priority="114" operator="equal">
      <formula>"November"</formula>
    </cfRule>
    <cfRule type="cellIs" dxfId="67" priority="115" operator="equal">
      <formula>"October"</formula>
    </cfRule>
    <cfRule type="cellIs" dxfId="66" priority="116" operator="equal">
      <formula>"September"</formula>
    </cfRule>
    <cfRule type="cellIs" dxfId="65" priority="118" operator="equal">
      <formula>"July"</formula>
    </cfRule>
    <cfRule type="cellIs" dxfId="64" priority="119" operator="equal">
      <formula>"June"</formula>
    </cfRule>
    <cfRule type="cellIs" dxfId="63" priority="120" operator="equal">
      <formula>"May"</formula>
    </cfRule>
    <cfRule type="cellIs" dxfId="62" priority="121" operator="equal">
      <formula>"April"</formula>
    </cfRule>
    <cfRule type="cellIs" dxfId="61" priority="122" operator="equal">
      <formula>"March"</formula>
    </cfRule>
    <cfRule type="cellIs" dxfId="60" priority="123" operator="equal">
      <formula>"February"</formula>
    </cfRule>
    <cfRule type="cellIs" dxfId="59" priority="124" operator="equal">
      <formula>"January"</formula>
    </cfRule>
  </conditionalFormatting>
  <conditionalFormatting sqref="I4:I110">
    <cfRule type="cellIs" dxfId="58" priority="35" operator="equal">
      <formula>"Vincent"</formula>
    </cfRule>
    <cfRule type="cellIs" dxfId="57" priority="38" operator="equal">
      <formula>"Martin"</formula>
    </cfRule>
    <cfRule type="cellIs" dxfId="56" priority="39" operator="equal">
      <formula>"Dean"</formula>
    </cfRule>
  </conditionalFormatting>
  <conditionalFormatting sqref="L4:L110">
    <cfRule type="cellIs" dxfId="55" priority="37" operator="notEqual">
      <formula>""""""</formula>
    </cfRule>
  </conditionalFormatting>
  <conditionalFormatting sqref="K4:K110">
    <cfRule type="expression" dxfId="54" priority="36">
      <formula>$K4&lt;$C4</formula>
    </cfRule>
  </conditionalFormatting>
  <conditionalFormatting sqref="H4:H110">
    <cfRule type="expression" dxfId="53" priority="182">
      <formula>$G4="02. Initial build"</formula>
    </cfRule>
    <cfRule type="expression" dxfId="52" priority="183">
      <formula>$G4="19. Despatch"</formula>
    </cfRule>
    <cfRule type="expression" dxfId="51" priority="184">
      <formula>$G4="20. Fail"</formula>
    </cfRule>
    <cfRule type="cellIs" dxfId="50" priority="185" operator="equal">
      <formula>0</formula>
    </cfRule>
    <cfRule type="cellIs" dxfId="49" priority="186" operator="equal">
      <formula>1</formula>
    </cfRule>
    <cfRule type="colorScale" priority="187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A4:A110">
    <cfRule type="expression" dxfId="48" priority="15">
      <formula>$Q4="December"</formula>
    </cfRule>
    <cfRule type="expression" dxfId="47" priority="16">
      <formula>$Q4="November"</formula>
    </cfRule>
    <cfRule type="expression" dxfId="46" priority="17">
      <formula>$Q4="October"</formula>
    </cfRule>
    <cfRule type="expression" dxfId="45" priority="18">
      <formula>$Q4="September"</formula>
    </cfRule>
    <cfRule type="expression" dxfId="44" priority="19">
      <formula>$Q4="August"</formula>
    </cfRule>
    <cfRule type="expression" dxfId="43" priority="20">
      <formula>$Q4="July"</formula>
    </cfRule>
    <cfRule type="expression" dxfId="42" priority="22">
      <formula>$Q4="June"</formula>
    </cfRule>
    <cfRule type="expression" dxfId="41" priority="23">
      <formula>$Q4="May"</formula>
    </cfRule>
    <cfRule type="expression" dxfId="40" priority="24">
      <formula>$Q4="April"</formula>
    </cfRule>
    <cfRule type="expression" dxfId="39" priority="25">
      <formula>$Q4="March"</formula>
    </cfRule>
    <cfRule type="expression" dxfId="38" priority="26">
      <formula>$Q4="February"</formula>
    </cfRule>
    <cfRule type="expression" dxfId="37" priority="27">
      <formula>$Q4="January"</formula>
    </cfRule>
  </conditionalFormatting>
  <conditionalFormatting sqref="O4:O110">
    <cfRule type="expression" dxfId="36" priority="190">
      <formula>#REF!=0</formula>
    </cfRule>
    <cfRule type="expression" dxfId="35" priority="191">
      <formula>#REF!=1</formula>
    </cfRule>
    <cfRule type="cellIs" dxfId="34" priority="192" operator="equal">
      <formula>0</formula>
    </cfRule>
  </conditionalFormatting>
  <conditionalFormatting sqref="P4:P110">
    <cfRule type="expression" dxfId="33" priority="193">
      <formula>#REF!=0</formula>
    </cfRule>
    <cfRule type="expression" dxfId="32" priority="194">
      <formula>#REF!=1</formula>
    </cfRule>
  </conditionalFormatting>
  <conditionalFormatting sqref="J4:J110">
    <cfRule type="expression" dxfId="31" priority="195">
      <formula>#REF!&gt;#REF!</formula>
    </cfRule>
  </conditionalFormatting>
  <dataValidations disablePrompts="1" count="5">
    <dataValidation type="list" allowBlank="1" showInputMessage="1" showErrorMessage="1" errorTitle="Input error" error="Something is wrong" promptTitle="Shotrages in the kit" prompt="Does this job has shortages? " sqref="D4:D110" xr:uid="{00000000-0002-0000-0100-000000000000}">
      <formula1>Shortages_List</formula1>
    </dataValidation>
    <dataValidation type="list" allowBlank="1" showInputMessage="1" showErrorMessage="1" sqref="Q4:Q110" xr:uid="{00000000-0002-0000-0100-000001000000}">
      <formula1 xml:space="preserve"> OutupMonth_List</formula1>
    </dataValidation>
    <dataValidation type="list" allowBlank="1" showInputMessage="1" showErrorMessage="1" errorTitle="Incorrect input" sqref="G4:G110" xr:uid="{00000000-0002-0000-0100-000002000000}">
      <formula1>Progress_List</formula1>
    </dataValidation>
    <dataValidation type="list" allowBlank="1" showInputMessage="1" showErrorMessage="1" sqref="R4:R110" xr:uid="{00000000-0002-0000-0100-000003000000}">
      <formula1 xml:space="preserve"> Years_List</formula1>
    </dataValidation>
    <dataValidation type="list" allowBlank="1" showInputMessage="1" showErrorMessage="1" sqref="I4:I110" xr:uid="{00000000-0002-0000-0100-000004000000}">
      <formula1>Operator_List</formula1>
    </dataValidation>
  </dataValidations>
  <hyperlinks>
    <hyperlink ref="N1" r:id="rId1" tooltip="Open help how to use the log" xr:uid="{00000000-0004-0000-0100-000000000000}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55" t="s">
        <v>49</v>
      </c>
      <c r="B1" s="156"/>
    </row>
    <row r="2" spans="1:2" ht="30" customHeight="1" thickTop="1" x14ac:dyDescent="0.25">
      <c r="A2" s="161" t="s">
        <v>293</v>
      </c>
      <c r="B2" s="162"/>
    </row>
    <row r="3" spans="1:2" ht="30" customHeight="1" x14ac:dyDescent="0.25">
      <c r="A3" s="163" t="s">
        <v>332</v>
      </c>
      <c r="B3" s="164"/>
    </row>
    <row r="4" spans="1:2" ht="30" customHeight="1" x14ac:dyDescent="0.25">
      <c r="A4" s="153" t="s">
        <v>290</v>
      </c>
      <c r="B4" s="154"/>
    </row>
    <row r="5" spans="1:2" x14ac:dyDescent="0.25">
      <c r="A5" s="109" t="s">
        <v>292</v>
      </c>
      <c r="B5" s="110" t="s">
        <v>3</v>
      </c>
    </row>
    <row r="6" spans="1:2" x14ac:dyDescent="0.25">
      <c r="A6" s="5"/>
      <c r="B6" s="108" t="s">
        <v>2</v>
      </c>
    </row>
    <row r="7" spans="1:2" x14ac:dyDescent="0.25">
      <c r="A7" s="5"/>
      <c r="B7" s="108" t="s">
        <v>215</v>
      </c>
    </row>
    <row r="8" spans="1:2" x14ac:dyDescent="0.25">
      <c r="A8" s="5"/>
      <c r="B8" s="108" t="s">
        <v>75</v>
      </c>
    </row>
    <row r="9" spans="1:2" x14ac:dyDescent="0.25">
      <c r="A9" s="111"/>
      <c r="B9" s="112" t="s">
        <v>208</v>
      </c>
    </row>
    <row r="10" spans="1:2" x14ac:dyDescent="0.25">
      <c r="A10" s="115" t="s">
        <v>287</v>
      </c>
      <c r="B10" s="116" t="s">
        <v>31</v>
      </c>
    </row>
    <row r="11" spans="1:2" x14ac:dyDescent="0.25">
      <c r="A11" s="117"/>
      <c r="B11" s="125" t="s">
        <v>334</v>
      </c>
    </row>
    <row r="12" spans="1:2" x14ac:dyDescent="0.25">
      <c r="A12" s="113"/>
      <c r="B12" s="114" t="s">
        <v>205</v>
      </c>
    </row>
    <row r="13" spans="1:2" ht="75" customHeight="1" x14ac:dyDescent="0.25">
      <c r="A13" s="163" t="s">
        <v>335</v>
      </c>
      <c r="B13" s="164"/>
    </row>
    <row r="14" spans="1:2" x14ac:dyDescent="0.25">
      <c r="A14" s="149" t="s">
        <v>336</v>
      </c>
      <c r="B14" s="150"/>
    </row>
    <row r="15" spans="1:2" x14ac:dyDescent="0.25">
      <c r="A15" s="165" t="s">
        <v>288</v>
      </c>
      <c r="B15" s="166"/>
    </row>
    <row r="16" spans="1:2" ht="45" customHeight="1" x14ac:dyDescent="0.25">
      <c r="A16" s="157" t="s">
        <v>333</v>
      </c>
      <c r="B16" s="158"/>
    </row>
    <row r="17" spans="1:2" ht="30" customHeight="1" x14ac:dyDescent="0.25">
      <c r="A17" s="159" t="s">
        <v>289</v>
      </c>
      <c r="B17" s="160"/>
    </row>
    <row r="18" spans="1:2" x14ac:dyDescent="0.25">
      <c r="A18" s="149" t="s">
        <v>337</v>
      </c>
      <c r="B18" s="150"/>
    </row>
    <row r="19" spans="1:2" ht="15.75" thickBot="1" x14ac:dyDescent="0.3">
      <c r="A19" s="151" t="s">
        <v>291</v>
      </c>
      <c r="B19" s="152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68" t="s">
        <v>281</v>
      </c>
      <c r="B1" s="169"/>
      <c r="C1" s="169"/>
      <c r="D1" s="170"/>
    </row>
    <row r="2" spans="1:4" ht="19.5" thickBot="1" x14ac:dyDescent="0.35">
      <c r="A2" s="99" t="s">
        <v>285</v>
      </c>
      <c r="B2" s="100" t="s">
        <v>61</v>
      </c>
      <c r="C2" s="101" t="s">
        <v>51</v>
      </c>
      <c r="D2" s="102" t="s">
        <v>253</v>
      </c>
    </row>
    <row r="3" spans="1:4" ht="15.75" thickTop="1" x14ac:dyDescent="0.25">
      <c r="A3" s="96" t="s">
        <v>0</v>
      </c>
      <c r="B3" s="97" t="s">
        <v>50</v>
      </c>
      <c r="C3" s="97"/>
      <c r="D3" s="98" t="s">
        <v>270</v>
      </c>
    </row>
    <row r="4" spans="1:4" x14ac:dyDescent="0.25">
      <c r="A4" s="28" t="s">
        <v>9</v>
      </c>
      <c r="B4" s="22" t="s">
        <v>255</v>
      </c>
      <c r="C4" s="88"/>
      <c r="D4" s="24" t="s">
        <v>270</v>
      </c>
    </row>
    <row r="5" spans="1:4" x14ac:dyDescent="0.25">
      <c r="A5" s="25" t="s">
        <v>1</v>
      </c>
      <c r="B5" s="93" t="s">
        <v>52</v>
      </c>
      <c r="C5" s="93"/>
      <c r="D5" s="94" t="s">
        <v>270</v>
      </c>
    </row>
    <row r="6" spans="1:4" x14ac:dyDescent="0.25">
      <c r="A6" s="28" t="s">
        <v>3</v>
      </c>
      <c r="B6" s="22" t="s">
        <v>256</v>
      </c>
      <c r="C6" s="88" t="s">
        <v>58</v>
      </c>
      <c r="D6" s="24" t="s">
        <v>270</v>
      </c>
    </row>
    <row r="7" spans="1:4" x14ac:dyDescent="0.25">
      <c r="A7" s="28" t="s">
        <v>59</v>
      </c>
      <c r="B7" s="22" t="s">
        <v>257</v>
      </c>
      <c r="C7" s="88" t="s">
        <v>258</v>
      </c>
      <c r="D7" s="24" t="s">
        <v>270</v>
      </c>
    </row>
    <row r="8" spans="1:4" x14ac:dyDescent="0.25">
      <c r="A8" s="28" t="s">
        <v>165</v>
      </c>
      <c r="B8" s="22" t="s">
        <v>259</v>
      </c>
      <c r="C8" s="88" t="s">
        <v>260</v>
      </c>
      <c r="D8" s="24" t="s">
        <v>270</v>
      </c>
    </row>
    <row r="9" spans="1:4" x14ac:dyDescent="0.25">
      <c r="A9" s="23" t="s">
        <v>2</v>
      </c>
      <c r="B9" s="22" t="s">
        <v>53</v>
      </c>
      <c r="C9" s="88" t="s">
        <v>54</v>
      </c>
      <c r="D9" s="24" t="s">
        <v>270</v>
      </c>
    </row>
    <row r="10" spans="1:4" x14ac:dyDescent="0.25">
      <c r="A10" s="23" t="s">
        <v>31</v>
      </c>
      <c r="B10" s="22" t="s">
        <v>55</v>
      </c>
      <c r="C10" s="103" t="s">
        <v>284</v>
      </c>
      <c r="D10" s="24" t="s">
        <v>270</v>
      </c>
    </row>
    <row r="11" spans="1:4" x14ac:dyDescent="0.25">
      <c r="A11" s="23" t="s">
        <v>215</v>
      </c>
      <c r="B11" s="22" t="s">
        <v>261</v>
      </c>
      <c r="C11" s="88" t="s">
        <v>262</v>
      </c>
      <c r="D11" s="24" t="s">
        <v>270</v>
      </c>
    </row>
    <row r="12" spans="1:4" x14ac:dyDescent="0.25">
      <c r="A12" s="25" t="s">
        <v>27</v>
      </c>
      <c r="B12" s="93" t="s">
        <v>56</v>
      </c>
      <c r="C12" s="95" t="s">
        <v>263</v>
      </c>
      <c r="D12" s="94" t="s">
        <v>270</v>
      </c>
    </row>
    <row r="13" spans="1:4" x14ac:dyDescent="0.25">
      <c r="A13" s="25" t="s">
        <v>10</v>
      </c>
      <c r="B13" s="93" t="s">
        <v>57</v>
      </c>
      <c r="C13" s="95" t="s">
        <v>264</v>
      </c>
      <c r="D13" s="94" t="s">
        <v>270</v>
      </c>
    </row>
    <row r="14" spans="1:4" x14ac:dyDescent="0.25">
      <c r="A14" s="23" t="s">
        <v>74</v>
      </c>
      <c r="B14" s="22" t="s">
        <v>265</v>
      </c>
      <c r="C14" s="88" t="s">
        <v>266</v>
      </c>
      <c r="D14" s="90" t="s">
        <v>270</v>
      </c>
    </row>
    <row r="15" spans="1:4" x14ac:dyDescent="0.25">
      <c r="A15" s="91" t="s">
        <v>267</v>
      </c>
      <c r="B15" s="80" t="s">
        <v>268</v>
      </c>
      <c r="C15" s="89" t="s">
        <v>269</v>
      </c>
      <c r="D15" s="90" t="s">
        <v>286</v>
      </c>
    </row>
    <row r="16" spans="1:4" x14ac:dyDescent="0.25">
      <c r="A16" s="91" t="s">
        <v>6</v>
      </c>
      <c r="B16" s="80"/>
      <c r="C16" s="89" t="s">
        <v>271</v>
      </c>
      <c r="D16" s="90" t="s">
        <v>270</v>
      </c>
    </row>
    <row r="17" spans="1:4" x14ac:dyDescent="0.25">
      <c r="A17" s="91" t="s">
        <v>330</v>
      </c>
      <c r="B17" s="80" t="s">
        <v>280</v>
      </c>
      <c r="C17" s="92" t="s">
        <v>283</v>
      </c>
      <c r="D17" s="90" t="s">
        <v>270</v>
      </c>
    </row>
    <row r="18" spans="1:4" ht="30" x14ac:dyDescent="0.25">
      <c r="A18" s="91" t="s">
        <v>205</v>
      </c>
      <c r="B18" s="80" t="s">
        <v>279</v>
      </c>
      <c r="C18" s="92" t="s">
        <v>282</v>
      </c>
      <c r="D18" s="90" t="s">
        <v>270</v>
      </c>
    </row>
    <row r="19" spans="1:4" ht="30" x14ac:dyDescent="0.25">
      <c r="A19" s="91" t="s">
        <v>272</v>
      </c>
      <c r="B19" s="80" t="s">
        <v>276</v>
      </c>
      <c r="C19" s="122" t="s">
        <v>329</v>
      </c>
      <c r="D19" s="90" t="s">
        <v>278</v>
      </c>
    </row>
    <row r="20" spans="1:4" ht="30" x14ac:dyDescent="0.25">
      <c r="A20" s="91" t="s">
        <v>204</v>
      </c>
      <c r="B20" s="80" t="s">
        <v>277</v>
      </c>
      <c r="C20" s="122" t="s">
        <v>329</v>
      </c>
      <c r="D20" s="90" t="s">
        <v>278</v>
      </c>
    </row>
    <row r="21" spans="1:4" x14ac:dyDescent="0.25">
      <c r="A21" s="91" t="s">
        <v>75</v>
      </c>
      <c r="B21" s="80" t="s">
        <v>273</v>
      </c>
      <c r="C21" s="104" t="s">
        <v>275</v>
      </c>
      <c r="D21" s="90" t="s">
        <v>278</v>
      </c>
    </row>
    <row r="22" spans="1:4" ht="15.75" thickBot="1" x14ac:dyDescent="0.3">
      <c r="A22" s="31" t="s">
        <v>208</v>
      </c>
      <c r="B22" s="26" t="s">
        <v>274</v>
      </c>
      <c r="C22" s="105" t="s">
        <v>275</v>
      </c>
      <c r="D22" s="27" t="s">
        <v>278</v>
      </c>
    </row>
    <row r="23" spans="1:4" x14ac:dyDescent="0.25">
      <c r="A23" s="29"/>
      <c r="B23" s="12"/>
      <c r="C23" s="12"/>
      <c r="D23" s="12"/>
    </row>
    <row r="24" spans="1:4" x14ac:dyDescent="0.25">
      <c r="A24" s="167" t="s">
        <v>60</v>
      </c>
      <c r="B24" s="167"/>
      <c r="C24" s="87"/>
    </row>
    <row r="25" spans="1:4" x14ac:dyDescent="0.25">
      <c r="A25" s="30"/>
      <c r="B25" s="30"/>
      <c r="C25" s="87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24"/>
  <sheetViews>
    <sheetView workbookViewId="0">
      <selection activeCell="M1" sqref="M1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33</v>
      </c>
      <c r="C1" s="15" t="s">
        <v>171</v>
      </c>
      <c r="D1" s="15" t="s">
        <v>34</v>
      </c>
      <c r="E1" s="15" t="s">
        <v>34</v>
      </c>
      <c r="F1" s="11" t="s">
        <v>32</v>
      </c>
      <c r="G1" s="12"/>
      <c r="H1" s="29" t="s">
        <v>215</v>
      </c>
      <c r="I1" s="12"/>
      <c r="J1" s="3" t="s">
        <v>3</v>
      </c>
      <c r="K1" s="12"/>
      <c r="L1" s="12"/>
      <c r="M1" s="3" t="s">
        <v>100</v>
      </c>
      <c r="N1" s="3" t="s">
        <v>207</v>
      </c>
    </row>
    <row r="2" spans="1:14" x14ac:dyDescent="0.25">
      <c r="A2" s="5" t="s">
        <v>176</v>
      </c>
      <c r="B2" s="6">
        <v>0</v>
      </c>
      <c r="C2" s="13">
        <v>0</v>
      </c>
      <c r="D2" s="6">
        <v>0</v>
      </c>
      <c r="E2" s="13">
        <v>0</v>
      </c>
      <c r="F2" s="71">
        <f>E2</f>
        <v>0</v>
      </c>
      <c r="G2" s="12"/>
      <c r="H2" s="12"/>
      <c r="I2" s="12"/>
      <c r="J2" s="12"/>
      <c r="K2" s="12"/>
      <c r="L2" s="12"/>
      <c r="M2" s="36" t="s">
        <v>176</v>
      </c>
      <c r="N2" s="36"/>
    </row>
    <row r="3" spans="1:14" x14ac:dyDescent="0.25">
      <c r="A3" s="5" t="s">
        <v>18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71">
        <f>E2+F2</f>
        <v>0</v>
      </c>
      <c r="G3" s="37"/>
      <c r="H3" s="19" t="s">
        <v>216</v>
      </c>
      <c r="I3" s="17"/>
      <c r="J3" s="127" t="s">
        <v>4</v>
      </c>
      <c r="M3" s="73" t="s">
        <v>90</v>
      </c>
      <c r="N3" s="47">
        <v>1</v>
      </c>
    </row>
    <row r="4" spans="1:14" x14ac:dyDescent="0.25">
      <c r="A4" s="5" t="s">
        <v>19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71">
        <f>E3+F3</f>
        <v>1.8726591760299626E-2</v>
      </c>
      <c r="G4" s="19"/>
      <c r="H4" s="19" t="s">
        <v>217</v>
      </c>
      <c r="I4" s="13"/>
      <c r="J4" s="12" t="s">
        <v>5</v>
      </c>
      <c r="M4" s="74" t="s">
        <v>91</v>
      </c>
      <c r="N4" s="48">
        <v>2</v>
      </c>
    </row>
    <row r="5" spans="1:14" x14ac:dyDescent="0.25">
      <c r="A5" s="5" t="s">
        <v>20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71">
        <f>E4+F4</f>
        <v>0.13108614232209737</v>
      </c>
      <c r="G5" s="19"/>
      <c r="H5" s="37" t="s">
        <v>236</v>
      </c>
      <c r="I5" s="13"/>
      <c r="M5" s="73" t="s">
        <v>92</v>
      </c>
      <c r="N5" s="47">
        <v>3</v>
      </c>
    </row>
    <row r="6" spans="1:14" x14ac:dyDescent="0.25">
      <c r="A6" s="5" t="s">
        <v>21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71">
        <f t="shared" ref="F6:F21" si="2">E5+F5</f>
        <v>0.13857677902621721</v>
      </c>
      <c r="G6" s="19"/>
      <c r="H6" s="19"/>
      <c r="I6" s="13"/>
      <c r="M6" s="74" t="s">
        <v>93</v>
      </c>
      <c r="N6" s="48">
        <v>4</v>
      </c>
    </row>
    <row r="7" spans="1:14" x14ac:dyDescent="0.25">
      <c r="A7" s="5" t="s">
        <v>22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71">
        <f t="shared" si="2"/>
        <v>0.28838951310861421</v>
      </c>
      <c r="G7" s="19"/>
      <c r="H7" s="19"/>
      <c r="I7" s="13"/>
      <c r="J7" s="12" t="s">
        <v>208</v>
      </c>
      <c r="M7" s="73" t="s">
        <v>94</v>
      </c>
      <c r="N7" s="47">
        <v>5</v>
      </c>
    </row>
    <row r="8" spans="1:14" x14ac:dyDescent="0.25">
      <c r="A8" s="5" t="s">
        <v>23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71">
        <f t="shared" si="2"/>
        <v>0.29588014981273408</v>
      </c>
      <c r="G8" s="19"/>
      <c r="H8" s="19"/>
      <c r="I8" s="13"/>
      <c r="J8" s="12"/>
      <c r="M8" s="74" t="s">
        <v>95</v>
      </c>
      <c r="N8" s="48">
        <v>6</v>
      </c>
    </row>
    <row r="9" spans="1:14" x14ac:dyDescent="0.25">
      <c r="A9" s="5" t="s">
        <v>24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71">
        <f t="shared" si="2"/>
        <v>0.35205992509363293</v>
      </c>
      <c r="G9" s="19"/>
      <c r="H9" s="19"/>
      <c r="I9" s="13"/>
      <c r="J9" s="127">
        <v>2017</v>
      </c>
      <c r="M9" s="73" t="s">
        <v>96</v>
      </c>
      <c r="N9" s="47">
        <v>7</v>
      </c>
    </row>
    <row r="10" spans="1:14" x14ac:dyDescent="0.25">
      <c r="A10" s="5" t="s">
        <v>25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71">
        <f t="shared" si="2"/>
        <v>0.36704119850187261</v>
      </c>
      <c r="G10" s="19"/>
      <c r="H10" s="19"/>
      <c r="I10" s="13"/>
      <c r="J10" s="127">
        <v>2018</v>
      </c>
      <c r="M10" s="74" t="s">
        <v>97</v>
      </c>
      <c r="N10" s="48">
        <v>8</v>
      </c>
    </row>
    <row r="11" spans="1:14" x14ac:dyDescent="0.25">
      <c r="A11" s="5" t="s">
        <v>26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71">
        <f t="shared" si="2"/>
        <v>0.44194756554307113</v>
      </c>
      <c r="G11" s="19"/>
      <c r="H11" s="19"/>
      <c r="I11" s="13"/>
      <c r="J11" s="127">
        <v>2019</v>
      </c>
      <c r="M11" s="73" t="s">
        <v>98</v>
      </c>
      <c r="N11" s="47">
        <v>9</v>
      </c>
    </row>
    <row r="12" spans="1:14" x14ac:dyDescent="0.25">
      <c r="A12" s="5" t="s">
        <v>14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71">
        <f t="shared" si="2"/>
        <v>0.449438202247191</v>
      </c>
      <c r="G12" s="19"/>
      <c r="H12" s="19"/>
      <c r="I12" s="13"/>
      <c r="J12" s="127">
        <v>2020</v>
      </c>
      <c r="M12" s="74" t="s">
        <v>76</v>
      </c>
      <c r="N12" s="48">
        <v>10</v>
      </c>
    </row>
    <row r="13" spans="1:14" x14ac:dyDescent="0.25">
      <c r="A13" s="5" t="s">
        <v>15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71">
        <f t="shared" si="2"/>
        <v>0.52434456928838946</v>
      </c>
      <c r="G13" s="19"/>
      <c r="H13" s="19"/>
      <c r="I13" s="13"/>
      <c r="M13" s="73" t="s">
        <v>88</v>
      </c>
      <c r="N13" s="47">
        <v>11</v>
      </c>
    </row>
    <row r="14" spans="1:14" x14ac:dyDescent="0.25">
      <c r="A14" s="5" t="s">
        <v>16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71">
        <f t="shared" si="2"/>
        <v>0.53183520599250933</v>
      </c>
      <c r="G14" s="19"/>
      <c r="H14" s="19"/>
      <c r="I14" s="13"/>
      <c r="M14" s="74" t="s">
        <v>99</v>
      </c>
      <c r="N14" s="48">
        <v>12</v>
      </c>
    </row>
    <row r="15" spans="1:14" x14ac:dyDescent="0.25">
      <c r="A15" s="5" t="s">
        <v>17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71">
        <f t="shared" si="2"/>
        <v>0.54681647940074907</v>
      </c>
      <c r="G15" s="19"/>
      <c r="H15" s="19"/>
      <c r="I15" s="13"/>
    </row>
    <row r="16" spans="1:14" x14ac:dyDescent="0.25">
      <c r="A16" s="5" t="s">
        <v>36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71">
        <f t="shared" si="2"/>
        <v>0.5617977528089888</v>
      </c>
      <c r="G16" s="19"/>
      <c r="H16" s="19"/>
      <c r="I16" s="13"/>
      <c r="M16" s="48" t="s">
        <v>338</v>
      </c>
      <c r="N16" s="48"/>
    </row>
    <row r="17" spans="1:14" x14ac:dyDescent="0.25">
      <c r="A17" s="5" t="s">
        <v>37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71">
        <f t="shared" si="2"/>
        <v>0.71161048689138584</v>
      </c>
      <c r="G17" s="19"/>
      <c r="H17" s="19"/>
      <c r="I17" s="13"/>
      <c r="M17" s="126" t="s">
        <v>17</v>
      </c>
      <c r="N17" s="126">
        <f>IFERROR(VALUE(LEFT(M17,2)),0)</f>
        <v>13</v>
      </c>
    </row>
    <row r="18" spans="1:14" x14ac:dyDescent="0.25">
      <c r="A18" s="5" t="s">
        <v>39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71">
        <f t="shared" si="2"/>
        <v>0.71910112359550571</v>
      </c>
      <c r="G18" s="19"/>
      <c r="H18" s="19"/>
      <c r="I18" s="13"/>
    </row>
    <row r="19" spans="1:14" x14ac:dyDescent="0.25">
      <c r="A19" s="5" t="s">
        <v>40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71">
        <f t="shared" si="2"/>
        <v>0.86891385767790275</v>
      </c>
      <c r="G19" s="19"/>
      <c r="H19" s="19"/>
      <c r="I19" s="13"/>
    </row>
    <row r="20" spans="1:14" x14ac:dyDescent="0.25">
      <c r="A20" s="38" t="s">
        <v>162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71">
        <f t="shared" si="2"/>
        <v>0.88764044943820242</v>
      </c>
      <c r="G20" s="19"/>
      <c r="H20" s="19"/>
      <c r="I20" s="13"/>
    </row>
    <row r="21" spans="1:14" x14ac:dyDescent="0.25">
      <c r="A21" s="38" t="s">
        <v>41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71">
        <f t="shared" si="2"/>
        <v>0.96254681647940088</v>
      </c>
      <c r="G21" s="19"/>
      <c r="H21" s="19"/>
      <c r="I21" s="13"/>
    </row>
    <row r="22" spans="1:14" x14ac:dyDescent="0.25">
      <c r="A22" s="38" t="s">
        <v>43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71">
        <f>E21+F21</f>
        <v>1.0000000000000002</v>
      </c>
      <c r="G22" s="19"/>
      <c r="H22" s="19"/>
      <c r="I22" s="13"/>
    </row>
    <row r="23" spans="1:14" x14ac:dyDescent="0.25">
      <c r="A23" s="39" t="s">
        <v>42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72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disablePrompts="1" count="1">
    <dataValidation type="list" allowBlank="1" showInputMessage="1" showErrorMessage="1" sqref="M17" xr:uid="{00000000-0002-0000-0400-000000000000}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&  &  
</file>

<file path=customXml/item3.xml>�� 
</file>

<file path=customXml/item4.xml>�� &  &  
</file>

<file path=customXml/item5.xml>�� 
</file>

<file path=customXml/item6.xml>�� 
</file>

<file path=customXml/item7.xml>�� 
</file>

<file path=customXml/item8.xml>�� 
</file>

<file path=customXml/item9.xml>�� &  &  &  &  
</file>

<file path=customXml/item10.xml>�� 
</file>

<file path=customXml/item11.xml>�� &  &  
</file>

<file path=customXml/item12.xml>�� 
</file>

<file path=customXml/item13.xml>�� 
</file>

<file path=customXml/item14.xml>�� 
</file>

<file path=customXml/item15.xml>�� &  &  
</file>

<file path=customXml/item16.xml>�� &  & 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&  & 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B4B64E02-5222-4F2B-9574-DA9EB17F1CE2}">
  <ds:schemaRefs/>
</ds:datastoreItem>
</file>

<file path=customXml/itemProps2.xml><?xml version="1.0" encoding="utf-8"?>
<ds:datastoreItem xmlns:ds="http://schemas.openxmlformats.org/officeDocument/2006/customXml" ds:itemID="{A9EF5538-55C9-441D-AF02-9EB7B56B10ED}">
  <ds:schemaRefs/>
</ds:datastoreItem>
</file>

<file path=customXml/itemProps3.xml><?xml version="1.0" encoding="utf-8"?>
<ds:datastoreItem xmlns:ds="http://schemas.openxmlformats.org/officeDocument/2006/customXml" ds:itemID="{AA710F78-E2A1-48CA-96B8-962A9CF9B93A}">
  <ds:schemaRefs/>
</ds:datastoreItem>
</file>

<file path=customXml/itemProps4.xml><?xml version="1.0" encoding="utf-8"?>
<ds:datastoreItem xmlns:ds="http://schemas.openxmlformats.org/officeDocument/2006/customXml" ds:itemID="{159175E8-9A31-41D6-B81F-F7470AF4D370}">
  <ds:schemaRefs/>
</ds:datastoreItem>
</file>

<file path=customXml/itemProps5.xml><?xml version="1.0" encoding="utf-8"?>
<ds:datastoreItem xmlns:ds="http://schemas.openxmlformats.org/officeDocument/2006/customXml" ds:itemID="{DAFC6B2A-E993-41B2-9E9F-2B274916FE3A}">
  <ds:schemaRefs/>
</ds:datastoreItem>
</file>

<file path=customXml/itemProps6.xml><?xml version="1.0" encoding="utf-8"?>
<ds:datastoreItem xmlns:ds="http://schemas.openxmlformats.org/officeDocument/2006/customXml" ds:itemID="{76EF64C8-48F7-404E-BF9E-427D14A9A502}">
  <ds:schemaRefs/>
</ds:datastoreItem>
</file>

<file path=customXml/itemProps7.xml><?xml version="1.0" encoding="utf-8"?>
<ds:datastoreItem xmlns:ds="http://schemas.openxmlformats.org/officeDocument/2006/customXml" ds:itemID="{014643FC-3FA9-4BE2-AAFB-6AA51CD44C5C}">
  <ds:schemaRefs/>
</ds:datastoreItem>
</file>

<file path=customXml/itemProps8.xml><?xml version="1.0" encoding="utf-8"?>
<ds:datastoreItem xmlns:ds="http://schemas.openxmlformats.org/officeDocument/2006/customXml" ds:itemID="{92D66426-286B-48F1-B96A-3479EA93EFAD}">
  <ds:schemaRefs/>
</ds:datastoreItem>
</file>

<file path=customXml/itemProps9.xml><?xml version="1.0" encoding="utf-8"?>
<ds:datastoreItem xmlns:ds="http://schemas.openxmlformats.org/officeDocument/2006/customXml" ds:itemID="{5FDDD005-ED82-4270-9D87-E18235F0B0C1}">
  <ds:schemaRefs/>
</ds:datastoreItem>
</file>

<file path=customXml/itemProps10.xml><?xml version="1.0" encoding="utf-8"?>
<ds:datastoreItem xmlns:ds="http://schemas.openxmlformats.org/officeDocument/2006/customXml" ds:itemID="{F1014242-4A05-4C43-A19A-C008BD513E1F}">
  <ds:schemaRefs/>
</ds:datastoreItem>
</file>

<file path=customXml/itemProps11.xml><?xml version="1.0" encoding="utf-8"?>
<ds:datastoreItem xmlns:ds="http://schemas.openxmlformats.org/officeDocument/2006/customXml" ds:itemID="{E70945CF-B060-4BFC-A947-9C8E51857B05}">
  <ds:schemaRefs/>
</ds:datastoreItem>
</file>

<file path=customXml/itemProps12.xml><?xml version="1.0" encoding="utf-8"?>
<ds:datastoreItem xmlns:ds="http://schemas.openxmlformats.org/officeDocument/2006/customXml" ds:itemID="{3144BBA6-9B0C-4A01-888A-8733C48577D5}">
  <ds:schemaRefs/>
</ds:datastoreItem>
</file>

<file path=customXml/itemProps13.xml><?xml version="1.0" encoding="utf-8"?>
<ds:datastoreItem xmlns:ds="http://schemas.openxmlformats.org/officeDocument/2006/customXml" ds:itemID="{A78FCBC6-7332-45B2-BE25-A542E2A395EE}">
  <ds:schemaRefs/>
</ds:datastoreItem>
</file>

<file path=customXml/itemProps14.xml><?xml version="1.0" encoding="utf-8"?>
<ds:datastoreItem xmlns:ds="http://schemas.openxmlformats.org/officeDocument/2006/customXml" ds:itemID="{67BEDC98-49A1-4069-9555-38982AED9A11}">
  <ds:schemaRefs/>
</ds:datastoreItem>
</file>

<file path=customXml/itemProps15.xml><?xml version="1.0" encoding="utf-8"?>
<ds:datastoreItem xmlns:ds="http://schemas.openxmlformats.org/officeDocument/2006/customXml" ds:itemID="{B8DC0A8D-E83E-4F9B-9192-A6E0888D957F}">
  <ds:schemaRefs/>
</ds:datastoreItem>
</file>

<file path=customXml/itemProps16.xml><?xml version="1.0" encoding="utf-8"?>
<ds:datastoreItem xmlns:ds="http://schemas.openxmlformats.org/officeDocument/2006/customXml" ds:itemID="{AA033CEF-80A0-494D-8BB1-8F1CAAF6806F}">
  <ds:schemaRefs/>
</ds:datastoreItem>
</file>

<file path=customXml/itemProps17.xml><?xml version="1.0" encoding="utf-8"?>
<ds:datastoreItem xmlns:ds="http://schemas.openxmlformats.org/officeDocument/2006/customXml" ds:itemID="{949D9B79-A236-4F03-BAC4-92FEA3B7930B}">
  <ds:schemaRefs/>
</ds:datastoreItem>
</file>

<file path=customXml/itemProps18.xml><?xml version="1.0" encoding="utf-8"?>
<ds:datastoreItem xmlns:ds="http://schemas.openxmlformats.org/officeDocument/2006/customXml" ds:itemID="{C25446A7-F369-44FF-AE94-5DEC2E6EEEAB}">
  <ds:schemaRefs/>
</ds:datastoreItem>
</file>

<file path=customXml/itemProps19.xml><?xml version="1.0" encoding="utf-8"?>
<ds:datastoreItem xmlns:ds="http://schemas.openxmlformats.org/officeDocument/2006/customXml" ds:itemID="{D7E9A923-AD90-4316-9AFB-A4CF17FD34AF}">
  <ds:schemaRefs/>
</ds:datastoreItem>
</file>

<file path=customXml/itemProps20.xml><?xml version="1.0" encoding="utf-8"?>
<ds:datastoreItem xmlns:ds="http://schemas.openxmlformats.org/officeDocument/2006/customXml" ds:itemID="{18FB803C-2548-4DA9-89E5-A07FC3F860F6}">
  <ds:schemaRefs/>
</ds:datastoreItem>
</file>

<file path=customXml/itemProps21.xml><?xml version="1.0" encoding="utf-8"?>
<ds:datastoreItem xmlns:ds="http://schemas.openxmlformats.org/officeDocument/2006/customXml" ds:itemID="{65E08166-5BE3-4705-9A2D-F13C632296F2}">
  <ds:schemaRefs/>
</ds:datastoreItem>
</file>

<file path=customXml/itemProps22.xml><?xml version="1.0" encoding="utf-8"?>
<ds:datastoreItem xmlns:ds="http://schemas.openxmlformats.org/officeDocument/2006/customXml" ds:itemID="{48C2C0D1-60C2-4987-9430-2C55CA607D4C}">
  <ds:schemaRefs/>
</ds:datastoreItem>
</file>

<file path=customXml/itemProps23.xml><?xml version="1.0" encoding="utf-8"?>
<ds:datastoreItem xmlns:ds="http://schemas.openxmlformats.org/officeDocument/2006/customXml" ds:itemID="{78E3FFC9-8C64-4E99-A52D-46B48F7E89CA}">
  <ds:schemaRefs/>
</ds:datastoreItem>
</file>

<file path=customXml/itemProps24.xml><?xml version="1.0" encoding="utf-8"?>
<ds:datastoreItem xmlns:ds="http://schemas.openxmlformats.org/officeDocument/2006/customXml" ds:itemID="{2AC74B3F-9141-4BBC-96C9-EA7456D79686}">
  <ds:schemaRefs/>
</ds:datastoreItem>
</file>

<file path=customXml/itemProps25.xml><?xml version="1.0" encoding="utf-8"?>
<ds:datastoreItem xmlns:ds="http://schemas.openxmlformats.org/officeDocument/2006/customXml" ds:itemID="{4E60132B-5D4F-4594-A75E-5E17270332C0}">
  <ds:schemaRefs/>
</ds:datastoreItem>
</file>

<file path=customXml/itemProps26.xml><?xml version="1.0" encoding="utf-8"?>
<ds:datastoreItem xmlns:ds="http://schemas.openxmlformats.org/officeDocument/2006/customXml" ds:itemID="{52713349-38FA-4B5F-8171-1BD1229BA6F7}">
  <ds:schemaRefs/>
</ds:datastoreItem>
</file>

<file path=customXml/itemProps27.xml><?xml version="1.0" encoding="utf-8"?>
<ds:datastoreItem xmlns:ds="http://schemas.openxmlformats.org/officeDocument/2006/customXml" ds:itemID="{04BA56BE-C038-4A20-B6BA-747980CF18E5}">
  <ds:schemaRefs/>
</ds:datastoreItem>
</file>

<file path=customXml/itemProps28.xml><?xml version="1.0" encoding="utf-8"?>
<ds:datastoreItem xmlns:ds="http://schemas.openxmlformats.org/officeDocument/2006/customXml" ds:itemID="{56D9A9D5-13F1-4655-9F0A-35718E624F49}">
  <ds:schemaRefs/>
</ds:datastoreItem>
</file>

<file path=customXml/itemProps29.xml><?xml version="1.0" encoding="utf-8"?>
<ds:datastoreItem xmlns:ds="http://schemas.openxmlformats.org/officeDocument/2006/customXml" ds:itemID="{E71B1189-ECDD-493E-A6F7-CBE78E8D8EFA}">
  <ds:schemaRefs/>
</ds:datastoreItem>
</file>

<file path=customXml/itemProps30.xml><?xml version="1.0" encoding="utf-8"?>
<ds:datastoreItem xmlns:ds="http://schemas.openxmlformats.org/officeDocument/2006/customXml" ds:itemID="{B465FACF-56DE-42EF-84F0-D794384E1210}">
  <ds:schemaRefs/>
</ds:datastoreItem>
</file>

<file path=customXml/itemProps31.xml><?xml version="1.0" encoding="utf-8"?>
<ds:datastoreItem xmlns:ds="http://schemas.openxmlformats.org/officeDocument/2006/customXml" ds:itemID="{E43C5826-D052-46D8-A1DC-F612808802E5}">
  <ds:schemaRefs/>
</ds:datastoreItem>
</file>

<file path=customXml/itemProps32.xml><?xml version="1.0" encoding="utf-8"?>
<ds:datastoreItem xmlns:ds="http://schemas.openxmlformats.org/officeDocument/2006/customXml" ds:itemID="{085F9431-DE8F-4683-838E-831380F1E3F6}">
  <ds:schemaRefs/>
</ds:datastoreItem>
</file>

<file path=customXml/itemProps33.xml><?xml version="1.0" encoding="utf-8"?>
<ds:datastoreItem xmlns:ds="http://schemas.openxmlformats.org/officeDocument/2006/customXml" ds:itemID="{7877836A-6D22-4201-A51B-CA43AE85AA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Job tracker</vt:lpstr>
      <vt:lpstr>How to use</vt:lpstr>
      <vt:lpstr>Columns description</vt:lpstr>
      <vt:lpstr>Lists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Martin</cp:lastModifiedBy>
  <cp:lastPrinted>2019-01-13T19:26:16Z</cp:lastPrinted>
  <dcterms:created xsi:type="dcterms:W3CDTF">2017-07-06T13:59:41Z</dcterms:created>
  <dcterms:modified xsi:type="dcterms:W3CDTF">2019-01-14T23:28:36Z</dcterms:modified>
</cp:coreProperties>
</file>