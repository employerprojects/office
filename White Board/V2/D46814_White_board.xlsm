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pivotCache/pivotCacheDefinition3.xml" ContentType="application/vnd.openxmlformats-officedocument.spreadsheetml.pivotCacheDefinition+xml"/>
  <Override PartName="/xl/pivotTables/pivotTable1.xml" ContentType="application/vnd.openxmlformats-officedocument.spreadsheetml.pivotTable+xml"/>
  <Override PartName="/xl/pivotCache/pivotCacheDefinition4.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mjanda\Documents\Databases\Git_Repos\White Board\"/>
    </mc:Choice>
  </mc:AlternateContent>
  <bookViews>
    <workbookView xWindow="0" yWindow="0" windowWidth="15015" windowHeight="6270" tabRatio="570" activeTab="3"/>
  </bookViews>
  <sheets>
    <sheet name="Job tracker" sheetId="1" r:id="rId1"/>
    <sheet name="How to use" sheetId="9" r:id="rId2"/>
    <sheet name="Columns description" sheetId="5" r:id="rId3"/>
    <sheet name="Plan and delivery" sheetId="11" r:id="rId4"/>
    <sheet name="Lists" sheetId="2" r:id="rId5"/>
  </sheets>
  <definedNames>
    <definedName name="_xlnm._FilterDatabase" localSheetId="0" hidden="1">'Job tracker'!$A$3:$D$4</definedName>
    <definedName name="Operator_List">Lists!$H$2:$H$5</definedName>
    <definedName name="OutupMonth_List">Lists!$M$2:$M$14</definedName>
    <definedName name="Progress_List">Lists!$A$2:$A$23</definedName>
    <definedName name="ProgressCalculation_List">Lists!$A$2:$F$23</definedName>
    <definedName name="Shortages_List">Lists!$J$3:$J$4</definedName>
    <definedName name="Slicer_Date__Plan___Month">#N/A</definedName>
    <definedName name="Slicer_Date__Plan___Quarter">#N/A</definedName>
    <definedName name="Slicer_Date__Plan___Year">#N/A</definedName>
    <definedName name="Slicer_Job">#N/A</definedName>
    <definedName name="Slicer_Week__Out_by">#N/A</definedName>
    <definedName name="Timeline_Out_by1">#N/A</definedName>
    <definedName name="Years_List">Lists!$J$8:$J$12</definedName>
  </definedNames>
  <calcPr calcId="181029"/>
  <pivotCaches>
    <pivotCache cacheId="12" r:id="rId6"/>
  </pivotCaches>
  <extLst>
    <ext xmlns:x14="http://schemas.microsoft.com/office/spreadsheetml/2009/9/main" uri="{876F7934-8845-4945-9796-88D515C7AA90}">
      <x14:pivotCaches>
        <pivotCache cacheId="1" r:id="rId7"/>
      </x14:pivotCaches>
    </ext>
    <ext xmlns:x14="http://schemas.microsoft.com/office/spreadsheetml/2009/9/main" uri="{BBE1A952-AA13-448e-AADC-164F8A28A991}">
      <x14:slicerCaches>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841E416B-1EF1-43b6-AB56-02D37102CBD5}">
      <x15:pivotCaches>
        <pivotCache cacheId="2" r:id="rId13"/>
      </x15:pivotCaches>
    </ext>
    <ext xmlns:x15="http://schemas.microsoft.com/office/spreadsheetml/2010/11/main" uri="{983426D0-5260-488c-9760-48F4B6AC55F4}">
      <x15:pivotTableReferences>
        <x15:pivotTableReference r:id="rId14"/>
      </x15:pivotTableReferences>
    </ext>
    <ext xmlns:x15="http://schemas.microsoft.com/office/spreadsheetml/2010/11/main" uri="{A2CB5862-8E78-49c6-8D9D-AF26E26ADB89}">
      <x15:timelineCachePivotCaches>
        <pivotCache cacheId="3" r:id="rId15"/>
      </x15:timelineCachePivotCaches>
    </ext>
    <ext xmlns:x15="http://schemas.microsoft.com/office/spreadsheetml/2010/11/main" uri="{D0CA8CA8-9F24-4464-BF8E-62219DCF47F9}">
      <x15:timelineCacheRefs>
        <x15:timelineCacheRef r:id="rId16"/>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utput_qry_82f6dff9-90d3-4dde-a6cb-9b0df97212aa" name="Output_qry" connection="Query - Output_qry"/>
          <x15:modelTable id="Output_SplitsOnly_Sumary_qry_b2f47c6d-3e13-49fb-9946-9120a32aaf34" name="Output_SplitsOnly_Sumary_qry" connection="Query - Output_SplitsOnly_Sumary_qry"/>
          <x15:modelTable id="Output_SplitsOnly_qry_8d35e636-2184-438d-8dfb-d30c18dec2ee" name="Output_SplitsOnly_qry" connection="Query - Output_SplitsOnly_qry"/>
          <x15:modelTable id="SplitJobs_withDetail_qry_f40ceed1-e44b-45fc-aba3-bd0c455a85e5" name="SplitJobs_withDetail_qry" connection="Query - SplitJobs_withDetail_qry"/>
        </x15:modelTables>
        <x15:modelRelationships>
          <x15:modelRelationship fromTable="Output_qry" fromColumn="Job" toTable="Output_SplitsOnly_Sumary_qry" toColumn="Job"/>
          <x15:modelRelationship fromTable="Output_SplitsOnly_qry" fromColumn="Job" toTable="Output_SplitsOnly_Sumary_qry" toColumn="Job"/>
          <x15:modelRelationship fromTable="SplitJobs_withDetail_qry" fromColumn="Job" toTable="Output_SplitsOnly_Sumary_qry" toColumn="Job"/>
        </x15:modelRelationships>
      </x15:dataModel>
    </ext>
  </extLst>
</workbook>
</file>

<file path=xl/calcChain.xml><?xml version="1.0" encoding="utf-8"?>
<calcChain xmlns="http://schemas.openxmlformats.org/spreadsheetml/2006/main">
  <c r="S48" i="1" l="1"/>
  <c r="S49" i="1"/>
  <c r="S50" i="1"/>
  <c r="S51" i="1"/>
  <c r="S52" i="1"/>
  <c r="S53" i="1"/>
  <c r="S54" i="1"/>
  <c r="S55" i="1"/>
  <c r="S56" i="1"/>
  <c r="S57" i="1"/>
  <c r="S66" i="1"/>
  <c r="S67" i="1"/>
  <c r="S102" i="1"/>
  <c r="S103" i="1"/>
  <c r="S104" i="1"/>
  <c r="S105" i="1"/>
  <c r="S106" i="1"/>
  <c r="S107" i="1"/>
  <c r="S108" i="1"/>
  <c r="S58" i="1"/>
  <c r="S59" i="1"/>
  <c r="S60" i="1"/>
  <c r="S61" i="1"/>
  <c r="S62" i="1"/>
  <c r="S63" i="1"/>
  <c r="S64" i="1"/>
  <c r="S65" i="1"/>
  <c r="S109" i="1"/>
  <c r="S110" i="1"/>
  <c r="S68" i="1"/>
  <c r="S69" i="1"/>
  <c r="S70" i="1"/>
  <c r="S4" i="1"/>
  <c r="S5" i="1"/>
  <c r="S6" i="1"/>
  <c r="S7" i="1"/>
  <c r="S8" i="1"/>
  <c r="S9" i="1"/>
  <c r="S10" i="1"/>
  <c r="S11" i="1"/>
  <c r="S12" i="1"/>
  <c r="S13" i="1"/>
  <c r="S14" i="1"/>
  <c r="S15" i="1"/>
  <c r="S16" i="1"/>
  <c r="S17" i="1"/>
  <c r="S71" i="1"/>
  <c r="S72" i="1"/>
  <c r="S73" i="1"/>
  <c r="S74" i="1"/>
  <c r="S75" i="1"/>
  <c r="S76" i="1"/>
  <c r="S18" i="1"/>
  <c r="S19" i="1"/>
  <c r="S20" i="1"/>
  <c r="S21" i="1"/>
  <c r="S22" i="1"/>
  <c r="S23" i="1"/>
  <c r="S24" i="1"/>
  <c r="S25" i="1"/>
  <c r="S77" i="1"/>
  <c r="S78" i="1"/>
  <c r="S79" i="1"/>
  <c r="S80" i="1"/>
  <c r="S81" i="1"/>
  <c r="S26" i="1"/>
  <c r="S27" i="1"/>
  <c r="S28" i="1"/>
  <c r="S29" i="1"/>
  <c r="S30" i="1"/>
  <c r="S31" i="1"/>
  <c r="S32" i="1"/>
  <c r="S33" i="1"/>
  <c r="S34" i="1"/>
  <c r="S82" i="1"/>
  <c r="S83" i="1"/>
  <c r="S84" i="1"/>
  <c r="S85" i="1"/>
  <c r="S86" i="1"/>
  <c r="S87" i="1"/>
  <c r="S88" i="1"/>
  <c r="S89" i="1"/>
  <c r="S90" i="1"/>
  <c r="S91" i="1"/>
  <c r="S35" i="1"/>
  <c r="S36" i="1"/>
  <c r="S37" i="1"/>
  <c r="S38" i="1"/>
  <c r="S39" i="1"/>
  <c r="S40" i="1"/>
  <c r="S41" i="1"/>
  <c r="S42" i="1"/>
  <c r="S92" i="1"/>
  <c r="S93" i="1"/>
  <c r="S94" i="1"/>
  <c r="S95" i="1"/>
  <c r="S96" i="1"/>
  <c r="S43" i="1"/>
  <c r="S44" i="1"/>
  <c r="S45" i="1"/>
  <c r="S46" i="1"/>
  <c r="S47" i="1"/>
  <c r="S97" i="1"/>
  <c r="S98" i="1"/>
  <c r="S99" i="1"/>
  <c r="S100" i="1"/>
  <c r="S101" i="1"/>
  <c r="N17" i="2" l="1"/>
  <c r="M2" i="1" l="1"/>
  <c r="B24" i="2" l="1"/>
  <c r="F2" i="2"/>
  <c r="H66" i="1" l="1"/>
  <c r="H67" i="1"/>
  <c r="F3" i="2"/>
  <c r="H110" i="1" l="1"/>
  <c r="H109" i="1"/>
  <c r="H108" i="1"/>
  <c r="H107" i="1"/>
  <c r="D24" i="2" l="1"/>
  <c r="E22" i="2" s="1"/>
  <c r="E10" i="2" l="1"/>
  <c r="E19" i="2"/>
  <c r="E18" i="2"/>
  <c r="E20" i="2"/>
  <c r="E14" i="2"/>
  <c r="E3" i="2"/>
  <c r="F4" i="2" s="1"/>
  <c r="E17" i="2"/>
  <c r="E13" i="2"/>
  <c r="E9" i="2"/>
  <c r="E5" i="2"/>
  <c r="E23" i="2"/>
  <c r="E16" i="2"/>
  <c r="E12" i="2"/>
  <c r="E8" i="2"/>
  <c r="E4" i="2"/>
  <c r="E21" i="2"/>
  <c r="E15" i="2"/>
  <c r="E11" i="2"/>
  <c r="E7" i="2"/>
  <c r="E24" i="2"/>
  <c r="E6" i="2"/>
  <c r="C22" i="2"/>
  <c r="C21" i="2" l="1"/>
  <c r="C18" i="2"/>
  <c r="C19" i="2"/>
  <c r="F5" i="2"/>
  <c r="C4" i="2"/>
  <c r="C12" i="2"/>
  <c r="C23" i="2"/>
  <c r="C5" i="2"/>
  <c r="C13" i="2"/>
  <c r="C8" i="2"/>
  <c r="C16" i="2"/>
  <c r="C9" i="2"/>
  <c r="C17" i="2"/>
  <c r="C6" i="2"/>
  <c r="C10" i="2"/>
  <c r="C14" i="2"/>
  <c r="C20" i="2"/>
  <c r="C3" i="2"/>
  <c r="C7" i="2"/>
  <c r="C11" i="2"/>
  <c r="C15" i="2"/>
  <c r="F6" i="2" l="1"/>
  <c r="C24" i="2"/>
  <c r="F7" i="2" l="1"/>
  <c r="F8" i="2" s="1"/>
  <c r="F9" i="2" l="1"/>
  <c r="F10" i="2" s="1"/>
  <c r="F11" i="2" l="1"/>
  <c r="F12" i="2" l="1"/>
  <c r="F13" i="2" s="1"/>
  <c r="H105" i="1"/>
  <c r="H106" i="1" l="1"/>
  <c r="F14" i="2"/>
  <c r="F15" i="2" s="1"/>
  <c r="F16" i="2" s="1"/>
  <c r="F17" i="2" s="1"/>
  <c r="F18" i="2" s="1"/>
  <c r="H103" i="1" l="1"/>
  <c r="F19" i="2"/>
  <c r="F20" i="2" s="1"/>
  <c r="F21" i="2" s="1"/>
  <c r="F23" i="2" s="1"/>
  <c r="H102" i="1" l="1"/>
  <c r="H104" i="1"/>
  <c r="F22" i="2"/>
  <c r="H14" i="1" s="1"/>
  <c r="H100" i="1"/>
  <c r="H98" i="1"/>
  <c r="H96" i="1"/>
  <c r="H101" i="1"/>
  <c r="H99" i="1"/>
  <c r="H97" i="1"/>
  <c r="H95" i="1"/>
  <c r="H93" i="1"/>
  <c r="H94" i="1"/>
  <c r="H92" i="1"/>
  <c r="H90" i="1"/>
  <c r="H91" i="1"/>
  <c r="H89" i="1"/>
  <c r="H87" i="1"/>
  <c r="H88" i="1"/>
  <c r="H86" i="1"/>
  <c r="H85" i="1"/>
  <c r="H84" i="1"/>
  <c r="H83" i="1"/>
  <c r="H82" i="1"/>
  <c r="H80" i="1"/>
  <c r="H81" i="1"/>
  <c r="H79" i="1"/>
  <c r="H77" i="1"/>
  <c r="H78" i="1"/>
  <c r="H74" i="1"/>
  <c r="H73" i="1"/>
  <c r="H75" i="1"/>
  <c r="H76" i="1"/>
  <c r="H4" i="1"/>
  <c r="H8" i="1"/>
  <c r="H12" i="1"/>
  <c r="H16" i="1"/>
  <c r="H20" i="1"/>
  <c r="H24" i="1"/>
  <c r="H28" i="1"/>
  <c r="H32" i="1"/>
  <c r="H36" i="1"/>
  <c r="H40" i="1"/>
  <c r="H44" i="1"/>
  <c r="H48" i="1"/>
  <c r="H52" i="1"/>
  <c r="H56" i="1"/>
  <c r="H60" i="1"/>
  <c r="H64" i="1"/>
  <c r="H68" i="1"/>
  <c r="H72" i="1"/>
  <c r="H25" i="1"/>
  <c r="H33" i="1"/>
  <c r="H41" i="1"/>
  <c r="H45" i="1"/>
  <c r="H53" i="1"/>
  <c r="H61" i="1"/>
  <c r="H69" i="1"/>
  <c r="H55" i="1"/>
  <c r="H71" i="1"/>
  <c r="H5" i="1"/>
  <c r="H9" i="1"/>
  <c r="H13" i="1"/>
  <c r="H17" i="1"/>
  <c r="H21" i="1"/>
  <c r="H29" i="1"/>
  <c r="H37" i="1"/>
  <c r="H49" i="1"/>
  <c r="H57" i="1"/>
  <c r="H65" i="1"/>
  <c r="H7" i="1"/>
  <c r="H15" i="1"/>
  <c r="H23" i="1"/>
  <c r="H31" i="1"/>
  <c r="H39" i="1"/>
  <c r="H51" i="1"/>
  <c r="H63" i="1"/>
  <c r="H6" i="1"/>
  <c r="H10" i="1"/>
  <c r="H18" i="1"/>
  <c r="H22" i="1"/>
  <c r="H26" i="1"/>
  <c r="H30" i="1"/>
  <c r="H34" i="1"/>
  <c r="H38" i="1"/>
  <c r="H42" i="1"/>
  <c r="H46" i="1"/>
  <c r="H50" i="1"/>
  <c r="H54" i="1"/>
  <c r="H58" i="1"/>
  <c r="H62" i="1"/>
  <c r="H70" i="1"/>
  <c r="H11" i="1"/>
  <c r="H19" i="1"/>
  <c r="H27" i="1"/>
  <c r="H35" i="1"/>
  <c r="H43" i="1"/>
  <c r="H47" i="1"/>
  <c r="H59" i="1"/>
</calcChain>
</file>

<file path=xl/comments1.xml><?xml version="1.0" encoding="utf-8"?>
<comments xmlns="http://schemas.openxmlformats.org/spreadsheetml/2006/main">
  <authors>
    <author>Janda, Martin</author>
  </authors>
  <commentList>
    <comment ref="M2" authorId="0" shapeId="0">
      <text>
        <r>
          <rPr>
            <b/>
            <sz val="9"/>
            <color indexed="81"/>
            <rFont val="Tahoma"/>
            <family val="2"/>
          </rPr>
          <t>Janda, Martin:</t>
        </r>
        <r>
          <rPr>
            <sz val="9"/>
            <color indexed="81"/>
            <rFont val="Tahoma"/>
            <family val="2"/>
          </rPr>
          <t xml:space="preserve">
Sum of Qty out.
Prediction included.</t>
        </r>
      </text>
    </comment>
    <comment ref="D3" authorId="0" shapeId="0">
      <text>
        <r>
          <rPr>
            <b/>
            <sz val="9"/>
            <color indexed="81"/>
            <rFont val="Tahoma"/>
            <family val="2"/>
          </rPr>
          <t>Janda, Martin:</t>
        </r>
        <r>
          <rPr>
            <sz val="9"/>
            <color indexed="81"/>
            <rFont val="Tahoma"/>
            <family val="2"/>
          </rPr>
          <t xml:space="preserve">
Any shortage - select Yes.
After ALL shortages are filled - select - NO.
Filled shortage has got date for each part in Shortage filled date column.</t>
        </r>
      </text>
    </comment>
    <comment ref="E3" authorId="0" shapeId="0">
      <text>
        <r>
          <rPr>
            <b/>
            <sz val="9"/>
            <color indexed="81"/>
            <rFont val="Tahoma"/>
            <family val="2"/>
          </rPr>
          <t>Janda, Martin:</t>
        </r>
        <r>
          <rPr>
            <sz val="9"/>
            <color indexed="81"/>
            <rFont val="Tahoma"/>
            <family val="2"/>
          </rPr>
          <t xml:space="preserve">
List of shortages.
Each part own line.
New line Alt+Enter.</t>
        </r>
      </text>
    </comment>
    <comment ref="F3" authorId="0" shapeId="0">
      <text>
        <r>
          <rPr>
            <b/>
            <sz val="9"/>
            <color indexed="81"/>
            <rFont val="Tahoma"/>
            <family val="2"/>
          </rPr>
          <t>Janda, Martin:</t>
        </r>
        <r>
          <rPr>
            <sz val="9"/>
            <color indexed="81"/>
            <rFont val="Tahoma"/>
            <family val="2"/>
          </rPr>
          <t xml:space="preserve">
Date shortage was filled.
Each part own line.
New line Alt+Enter.</t>
        </r>
      </text>
    </comment>
    <comment ref="G3" authorId="0" shapeId="0">
      <text>
        <r>
          <rPr>
            <b/>
            <sz val="9"/>
            <color indexed="81"/>
            <rFont val="Tahoma"/>
            <family val="2"/>
          </rPr>
          <t>Janda, Martin:</t>
        </r>
        <r>
          <rPr>
            <sz val="9"/>
            <color indexed="81"/>
            <rFont val="Tahoma"/>
            <family val="2"/>
          </rPr>
          <t xml:space="preserve">
Select operation in progress or just has progressed.
Do not move here before you move in real.</t>
        </r>
      </text>
    </comment>
    <comment ref="I3" authorId="0" shapeId="0">
      <text>
        <r>
          <rPr>
            <b/>
            <sz val="9"/>
            <color indexed="81"/>
            <rFont val="Tahoma"/>
            <family val="2"/>
          </rPr>
          <t>Janda, Martin:</t>
        </r>
        <r>
          <rPr>
            <sz val="9"/>
            <color indexed="81"/>
            <rFont val="Tahoma"/>
            <family val="2"/>
          </rPr>
          <t xml:space="preserve">
Last or current operator on job. Select from list.</t>
        </r>
      </text>
    </comment>
    <comment ref="K3" authorId="0" shapeId="0">
      <text>
        <r>
          <rPr>
            <b/>
            <sz val="9"/>
            <color indexed="81"/>
            <rFont val="Tahoma"/>
            <family val="2"/>
          </rPr>
          <t>Janda, Martin:</t>
        </r>
        <r>
          <rPr>
            <sz val="9"/>
            <color indexed="81"/>
            <rFont val="Tahoma"/>
            <family val="2"/>
          </rPr>
          <t xml:space="preserve">
Batch size - Failed.</t>
        </r>
      </text>
    </comment>
    <comment ref="L3" authorId="0" shapeId="0">
      <text>
        <r>
          <rPr>
            <b/>
            <sz val="9"/>
            <color indexed="81"/>
            <rFont val="Tahoma"/>
            <family val="2"/>
          </rPr>
          <t>Janda, Martin:</t>
        </r>
        <r>
          <rPr>
            <sz val="9"/>
            <color indexed="81"/>
            <rFont val="Tahoma"/>
            <family val="2"/>
          </rPr>
          <t xml:space="preserve">
For each unit give reason.</t>
        </r>
      </text>
    </comment>
    <comment ref="N3" authorId="0" shapeId="0">
      <text>
        <r>
          <rPr>
            <b/>
            <sz val="9"/>
            <color indexed="81"/>
            <rFont val="Tahoma"/>
            <family val="2"/>
          </rPr>
          <t>Janda, Martin:</t>
        </r>
        <r>
          <rPr>
            <sz val="9"/>
            <color indexed="81"/>
            <rFont val="Tahoma"/>
            <family val="2"/>
          </rPr>
          <t xml:space="preserve">
Messages to and from team leader.
Other notes.
</t>
        </r>
      </text>
    </comment>
    <comment ref="O3" authorId="0" shapeId="0">
      <text>
        <r>
          <rPr>
            <b/>
            <sz val="9"/>
            <color indexed="81"/>
            <rFont val="Tahoma"/>
            <family val="2"/>
          </rPr>
          <t>Janda, Martin:</t>
        </r>
        <r>
          <rPr>
            <sz val="9"/>
            <color indexed="81"/>
            <rFont val="Tahoma"/>
            <family val="2"/>
          </rPr>
          <t xml:space="preserve">
Manager to fill.
how many units are in stock in the beginning of the period.</t>
        </r>
      </text>
    </comment>
    <comment ref="P3" authorId="0" shapeId="0">
      <text>
        <r>
          <rPr>
            <b/>
            <sz val="9"/>
            <color indexed="81"/>
            <rFont val="Tahoma"/>
            <family val="2"/>
          </rPr>
          <t>Janda, Martin:</t>
        </r>
        <r>
          <rPr>
            <sz val="9"/>
            <color indexed="81"/>
            <rFont val="Tahoma"/>
            <family val="2"/>
          </rPr>
          <t xml:space="preserve">
Manager to fill.
Number of units to be built in the period. (Prediction is better then nothing.)</t>
        </r>
      </text>
    </comment>
    <comment ref="Q3" authorId="0" shapeId="0">
      <text>
        <r>
          <rPr>
            <b/>
            <sz val="9"/>
            <color indexed="81"/>
            <rFont val="Tahoma"/>
            <family val="2"/>
          </rPr>
          <t>Janda, Martin:</t>
        </r>
        <r>
          <rPr>
            <sz val="9"/>
            <color indexed="81"/>
            <rFont val="Tahoma"/>
            <family val="2"/>
          </rPr>
          <t xml:space="preserve">
Manager to fill.
Period - month.</t>
        </r>
      </text>
    </comment>
    <comment ref="R3" authorId="0" shapeId="0">
      <text>
        <r>
          <rPr>
            <b/>
            <sz val="9"/>
            <color indexed="81"/>
            <rFont val="Tahoma"/>
            <family val="2"/>
          </rPr>
          <t>Janda, Martin:</t>
        </r>
        <r>
          <rPr>
            <sz val="9"/>
            <color indexed="81"/>
            <rFont val="Tahoma"/>
            <family val="2"/>
          </rPr>
          <t xml:space="preserve">
Manager to fill.
Period - year.</t>
        </r>
      </text>
    </comment>
  </commentList>
</comments>
</file>

<file path=xl/connections.xml><?xml version="1.0" encoding="utf-8"?>
<connections xmlns="http://schemas.openxmlformats.org/spreadsheetml/2006/main">
  <connection id="1" name="Query - Output_qry" description="Connection to the 'Output_qry' query in the workbook." type="100" refreshedVersion="6" minRefreshableVersion="5">
    <extLst>
      <ext xmlns:x15="http://schemas.microsoft.com/office/spreadsheetml/2010/11/main" uri="{DE250136-89BD-433C-8126-D09CA5730AF9}">
        <x15:connection id="2fe287dd-e1a3-4148-be8f-2aba05c6752f"/>
      </ext>
    </extLst>
  </connection>
  <connection id="2" name="Query - Output_SplitsOnly_qry" description="Connection to the 'Output_SplitsOnly_qry' query in the workbook." type="100" refreshedVersion="6" minRefreshableVersion="5">
    <extLst>
      <ext xmlns:x15="http://schemas.microsoft.com/office/spreadsheetml/2010/11/main" uri="{DE250136-89BD-433C-8126-D09CA5730AF9}">
        <x15:connection id="3443ee8b-f256-429b-b18f-53d89d9e7edf"/>
      </ext>
    </extLst>
  </connection>
  <connection id="3" name="Query - Output_SplitsOnly_Sumary_qry" description="Connection to the 'Output_SplitsOnly_Sumary_qry' query in the workbook." type="100" refreshedVersion="6" minRefreshableVersion="5">
    <extLst>
      <ext xmlns:x15="http://schemas.microsoft.com/office/spreadsheetml/2010/11/main" uri="{DE250136-89BD-433C-8126-D09CA5730AF9}">
        <x15:connection id="7dc71ecd-20ea-4720-9b41-c058d5b9537d"/>
      </ext>
    </extLst>
  </connection>
  <connection id="4" name="Query - SplitJobs_withDetail_qry" description="Connection to the 'SplitJobs_withDetail_qry' query in the workbook." type="100" refreshedVersion="6" minRefreshableVersion="5">
    <extLst>
      <ext xmlns:x15="http://schemas.microsoft.com/office/spreadsheetml/2010/11/main" uri="{DE250136-89BD-433C-8126-D09CA5730AF9}">
        <x15:connection id="963f47d4-8789-451a-8f41-4a222c032290"/>
      </ext>
    </extLst>
  </connection>
  <connection id="5" keepAlive="1" name="ThisWorkbookDataModel" description="Data Model" type="5" refreshedVersion="6"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<sst xmlns="http://schemas.openxmlformats.org/spreadsheetml/2006/main" count="797" uniqueCount="359">
  <si>
    <t>KX</t>
  </si>
  <si>
    <t>Batch</t>
  </si>
  <si>
    <t>Progress</t>
  </si>
  <si>
    <t>Shortages</t>
  </si>
  <si>
    <t>Yes</t>
  </si>
  <si>
    <t>No</t>
  </si>
  <si>
    <t>Note</t>
  </si>
  <si>
    <t>Job</t>
  </si>
  <si>
    <t>KX143295</t>
  </si>
  <si>
    <t>Booked in</t>
  </si>
  <si>
    <t>Out qty</t>
  </si>
  <si>
    <t>winding pairs x8</t>
  </si>
  <si>
    <t>Short of…</t>
  </si>
  <si>
    <t>winding pairs x1</t>
  </si>
  <si>
    <t>10. Welding</t>
  </si>
  <si>
    <t>11. Welding done</t>
  </si>
  <si>
    <t>12. Heatcycling</t>
  </si>
  <si>
    <t>13. Heatcycling done</t>
  </si>
  <si>
    <t>01. Job booked to cell</t>
  </si>
  <si>
    <t>02. Initial build</t>
  </si>
  <si>
    <t>03. Initial build done</t>
  </si>
  <si>
    <t>04. RTV</t>
  </si>
  <si>
    <t>05. RTV done</t>
  </si>
  <si>
    <t>06. Powder potting</t>
  </si>
  <si>
    <t>07. Powder potting done</t>
  </si>
  <si>
    <t>08. Stycast</t>
  </si>
  <si>
    <t>09. Stycast done</t>
  </si>
  <si>
    <t>Out by</t>
  </si>
  <si>
    <t>31.7.2017</t>
  </si>
  <si>
    <t>RTV (in)</t>
  </si>
  <si>
    <t>winding pair x1</t>
  </si>
  <si>
    <t>% done</t>
  </si>
  <si>
    <t>Cumulative</t>
  </si>
  <si>
    <t>Hours.Minutes (decimal)</t>
  </si>
  <si>
    <t>Adjusted</t>
  </si>
  <si>
    <t>winding pairs x6</t>
  </si>
  <si>
    <t>14. ATP - rig test</t>
  </si>
  <si>
    <t>15. ATP - rig test done</t>
  </si>
  <si>
    <t>failed winding , dielectric, requested, received, unit 7 English winding</t>
  </si>
  <si>
    <t>16. ATP - finalizing</t>
  </si>
  <si>
    <t>17. ATP - finalizing done</t>
  </si>
  <si>
    <t>19. Despatch</t>
  </si>
  <si>
    <t>20. Out</t>
  </si>
  <si>
    <t>20. Fail</t>
  </si>
  <si>
    <t>cases x8</t>
  </si>
  <si>
    <t>First 6 units English windings,
Support cable from next batch, Paperwork 17-04-493, In cell 17-05-437</t>
  </si>
  <si>
    <t>Support cable from next batch, Paperwork 17-04-493, In cell 17-05-437</t>
  </si>
  <si>
    <t>Support cable from next batch, Paperwork 17-04-493, In cell 17-05-437
welding skipped</t>
  </si>
  <si>
    <t>waiting for rig since 4.9. 10:00, rig free 6.9. 9:00
5 people refused to customerize, no progress</t>
  </si>
  <si>
    <t>How to use this workbook</t>
  </si>
  <si>
    <t>Job number</t>
  </si>
  <si>
    <t>Explanation</t>
  </si>
  <si>
    <t>Number of units per job</t>
  </si>
  <si>
    <t>How far job has progressed</t>
  </si>
  <si>
    <t>Stages do (loosely) follow build process sheet</t>
  </si>
  <si>
    <t>Progress in percent</t>
  </si>
  <si>
    <t>Expected output date</t>
  </si>
  <si>
    <t>Number of units for output</t>
  </si>
  <si>
    <t>Yes / No</t>
  </si>
  <si>
    <t>Short of</t>
  </si>
  <si>
    <t>Yellow background indicates important columns</t>
  </si>
  <si>
    <t>Description</t>
  </si>
  <si>
    <t>sleeving
nut fine pitch x16</t>
  </si>
  <si>
    <t>24/08/2017
13/09/2017</t>
  </si>
  <si>
    <t>sleeving
nut fine pitch x8</t>
  </si>
  <si>
    <t>24/08/2017
14/09/2017</t>
  </si>
  <si>
    <t>1 unit odd presure tube, Jason ok,
Support cable from next batch, Paperwork 17-04-493, In cell 17-05-437
in oven 14/9/2017 11:40</t>
  </si>
  <si>
    <r>
      <t xml:space="preserve">need w/c 25 Sept
</t>
    </r>
    <r>
      <rPr>
        <sz val="11"/>
        <rFont val="Calibri"/>
        <family val="2"/>
        <scheme val="minor"/>
      </rPr>
      <t>in oven 14/9/2017 11:40</t>
    </r>
  </si>
  <si>
    <t>14/09/2017
13/09/2017
13/09/2017
13/09/2017
13/09/2017</t>
  </si>
  <si>
    <r>
      <rPr>
        <strike/>
        <sz val="11"/>
        <color theme="1"/>
        <rFont val="Calibri"/>
        <family val="2"/>
        <scheme val="minor"/>
      </rPr>
      <t>body x1 ok</t>
    </r>
    <r>
      <rPr>
        <sz val="11"/>
        <color theme="1"/>
        <rFont val="Calibri"/>
        <family val="2"/>
        <scheme val="minor"/>
      </rPr>
      <t xml:space="preserve">
</t>
    </r>
    <r>
      <rPr>
        <strike/>
        <sz val="11"/>
        <color theme="1"/>
        <rFont val="Calibri"/>
        <family val="2"/>
        <scheme val="minor"/>
      </rPr>
      <t>tab washer x3
nut fine pitch x16
sleeve
winding x8</t>
    </r>
  </si>
  <si>
    <t>cases x8 - ok
winding pair x1 - ok</t>
  </si>
  <si>
    <t>14/09/2017
25/09/2017</t>
  </si>
  <si>
    <r>
      <t xml:space="preserve">need w/c 25 Sept
</t>
    </r>
    <r>
      <rPr>
        <sz val="11"/>
        <rFont val="Calibri"/>
        <family val="2"/>
        <scheme val="minor"/>
      </rPr>
      <t xml:space="preserve">welding skipped - done
in oven 21/9/2017 15:00
</t>
    </r>
    <r>
      <rPr>
        <sz val="11"/>
        <color rgb="FFFF0000"/>
        <rFont val="Calibri"/>
        <family val="2"/>
        <scheme val="minor"/>
      </rPr>
      <t>waiting for rig since 26/9/17 9am till 27/9/17 9:30</t>
    </r>
  </si>
  <si>
    <r>
      <t xml:space="preserve">need w/c 25 Sept
</t>
    </r>
    <r>
      <rPr>
        <sz val="11"/>
        <rFont val="Calibri"/>
        <family val="2"/>
        <scheme val="minor"/>
      </rPr>
      <t xml:space="preserve">in oven 21/9/2017 15:00
</t>
    </r>
    <r>
      <rPr>
        <sz val="11"/>
        <color rgb="FFFF0000"/>
        <rFont val="Calibri"/>
        <family val="2"/>
        <scheme val="minor"/>
      </rPr>
      <t>waiting for rig since 26/9/17 9am till 27/9/17 9:30</t>
    </r>
  </si>
  <si>
    <t>Fail reason</t>
  </si>
  <si>
    <t>Output month</t>
  </si>
  <si>
    <t>October</t>
  </si>
  <si>
    <t>Body welded with incorrect part, IRN. 28108, corrected</t>
  </si>
  <si>
    <t>originally 20/10/2107</t>
  </si>
  <si>
    <t>Oven loaded 6/9/2017 am,
Monday 9/10/2017 1st cycle still running, 
Jason informed</t>
  </si>
  <si>
    <t>body x7 - ok
sleeve ch A - ok</t>
  </si>
  <si>
    <t>body x8 - ok
nut fine pitch x8
sleeve ch A - ok</t>
  </si>
  <si>
    <t>06/10/2017
09/10/2017</t>
  </si>
  <si>
    <t>Oven loaded 6/9/2017 am with output 13/10/2107,
Monday 9/10/2017 1st cycle still running, 
Jason informed, output resheduled</t>
  </si>
  <si>
    <t>No output for week starting 02/10/2017! Monday morning oven only 1 cycle of 12 done
oven finished 6/10/2017
rescheduled to following week
Waiting for test rig 10/10/2017 14:00 - 11/10/2017 9:00, plus 1 hour printer repair</t>
  </si>
  <si>
    <r>
      <t xml:space="preserve">cases @ pressure test 32off -cleared,
windings with incorrect paperwork, winding re-tested to be too far apart each other - windings replaced
</t>
    </r>
    <r>
      <rPr>
        <sz val="11"/>
        <color rgb="FFFF0000"/>
        <rFont val="Calibri"/>
        <family val="2"/>
        <scheme val="minor"/>
      </rPr>
      <t>No output for week starting 02/10/2017! Monday morning oven only 1 cycle of 12 done
oven finished 6/10/2017
rescheduled to following week
waiting 2 hours for paperwork</t>
    </r>
  </si>
  <si>
    <t>18/10/2017
18/10/2017</t>
  </si>
  <si>
    <t>Washer tab 1x - ok
Sleeve ch B 2.76" - ok</t>
  </si>
  <si>
    <t>November</t>
  </si>
  <si>
    <t>06/10/2017
06/10/2017
09/10/2017</t>
  </si>
  <si>
    <t>January</t>
  </si>
  <si>
    <t>February</t>
  </si>
  <si>
    <t>March</t>
  </si>
  <si>
    <t>April</t>
  </si>
  <si>
    <t>May</t>
  </si>
  <si>
    <t>June</t>
  </si>
  <si>
    <t>July</t>
  </si>
  <si>
    <t>August</t>
  </si>
  <si>
    <t>September</t>
  </si>
  <si>
    <t>December</t>
  </si>
  <si>
    <t>Output months</t>
  </si>
  <si>
    <t>windings do not fit bodies</t>
  </si>
  <si>
    <t>windings do not fit bodies
1 winding failed initial dielectric strength test, winding pair replaced</t>
  </si>
  <si>
    <t xml:space="preserve">unit 1 stiff winding tube on body's presure tube
</t>
  </si>
  <si>
    <t>1x body presure tubes oversized or winding tubes undersizes</t>
  </si>
  <si>
    <t>KX143324</t>
  </si>
  <si>
    <t>KX143357</t>
  </si>
  <si>
    <t>KX143214</t>
  </si>
  <si>
    <t>KX143148</t>
  </si>
  <si>
    <t>KX143149</t>
  </si>
  <si>
    <t>KX143213</t>
  </si>
  <si>
    <t>KX143373</t>
  </si>
  <si>
    <t>KX143374</t>
  </si>
  <si>
    <t>KX143375</t>
  </si>
  <si>
    <t>KX143447</t>
  </si>
  <si>
    <t>KX143618</t>
  </si>
  <si>
    <t>KX143619</t>
  </si>
  <si>
    <t>KX143646</t>
  </si>
  <si>
    <t>KX143645</t>
  </si>
  <si>
    <t>KX143647</t>
  </si>
  <si>
    <t>KX143925</t>
  </si>
  <si>
    <t>KX143926</t>
  </si>
  <si>
    <t>KX143927</t>
  </si>
  <si>
    <t>KXHX10</t>
  </si>
  <si>
    <t>KX144071</t>
  </si>
  <si>
    <t>KX144072</t>
  </si>
  <si>
    <t>KX144073</t>
  </si>
  <si>
    <t>KX144314</t>
  </si>
  <si>
    <t>KX144315</t>
  </si>
  <si>
    <t>KX144316</t>
  </si>
  <si>
    <t>KX144317</t>
  </si>
  <si>
    <t>KX144464</t>
  </si>
  <si>
    <t>KX144465</t>
  </si>
  <si>
    <t>KX144466</t>
  </si>
  <si>
    <t>KX144622</t>
  </si>
  <si>
    <t>KX144623</t>
  </si>
  <si>
    <t>KX144764</t>
  </si>
  <si>
    <t>KX144765</t>
  </si>
  <si>
    <t>KX144819</t>
  </si>
  <si>
    <t>KX144820</t>
  </si>
  <si>
    <t>KX144821</t>
  </si>
  <si>
    <t>KX144822</t>
  </si>
  <si>
    <t>KX144898</t>
  </si>
  <si>
    <t>KX144899</t>
  </si>
  <si>
    <t>KX144962</t>
  </si>
  <si>
    <t>JSC000256</t>
  </si>
  <si>
    <t>JSC000257</t>
  </si>
  <si>
    <t>reaming winding tubes x6 to 5.05 mm, all reamed</t>
  </si>
  <si>
    <t>JSC000464</t>
  </si>
  <si>
    <t>JSC000549</t>
  </si>
  <si>
    <t>JSC000550</t>
  </si>
  <si>
    <t>JSC000551</t>
  </si>
  <si>
    <t>body x7 - ok</t>
  </si>
  <si>
    <t>body x8 - ok</t>
  </si>
  <si>
    <t>JSC000672</t>
  </si>
  <si>
    <t xml:space="preserve">windings waiting for relacement, ok
</t>
  </si>
  <si>
    <t>windings waiting for relacement - ok</t>
  </si>
  <si>
    <t>JSC000717</t>
  </si>
  <si>
    <t>JSC000718</t>
  </si>
  <si>
    <t>JSC000738</t>
  </si>
  <si>
    <t>cable suport x8 - ok</t>
  </si>
  <si>
    <t>JSC000739</t>
  </si>
  <si>
    <t>18. Final inspection</t>
  </si>
  <si>
    <t>welding skipped - done</t>
  </si>
  <si>
    <t>JSC000831</t>
  </si>
  <si>
    <t>Shortage filled</t>
  </si>
  <si>
    <t>end of day</t>
  </si>
  <si>
    <t>JSC1144</t>
  </si>
  <si>
    <t>JSC1145</t>
  </si>
  <si>
    <t>tab washer x8 - ok</t>
  </si>
  <si>
    <t>JSC1238</t>
  </si>
  <si>
    <t>Time [% of sum]</t>
  </si>
  <si>
    <t>most liketly will not make it - no rig, so it will slip to 31/01/2018</t>
  </si>
  <si>
    <t>welding skipped</t>
  </si>
  <si>
    <t>JSC1270</t>
  </si>
  <si>
    <t>JSC1271</t>
  </si>
  <si>
    <t xml:space="preserve"> </t>
  </si>
  <si>
    <t>23/01/2018
31/01/2018
22/01/2018</t>
  </si>
  <si>
    <t>cable suport x8 - ok
washer x3 - ok
body x7 - ok</t>
  </si>
  <si>
    <t>nut fine pitch x16</t>
  </si>
  <si>
    <t>nut fine pitch x6</t>
  </si>
  <si>
    <t>JSC1345</t>
  </si>
  <si>
    <t>Cannot find start position for lane B, opened circuit  Green x Blue, scrap x1.</t>
  </si>
  <si>
    <t>JSC2595</t>
  </si>
  <si>
    <t>NO OUTPUT</t>
  </si>
  <si>
    <t>JSC2855</t>
  </si>
  <si>
    <t>JSC3106</t>
  </si>
  <si>
    <t>JSC3129</t>
  </si>
  <si>
    <t>Outupt: 31/5/18 If they make it heatcycling oven on Friday. Very unlikely with obstacles I have faced.</t>
  </si>
  <si>
    <t>shafts x8 - ok</t>
  </si>
  <si>
    <t>JSC3979</t>
  </si>
  <si>
    <t>JSC3980</t>
  </si>
  <si>
    <t>shafts x3 - ok</t>
  </si>
  <si>
    <t>heatshrink -11.81" - ok</t>
  </si>
  <si>
    <t>JSC4228</t>
  </si>
  <si>
    <t>JSC4244</t>
  </si>
  <si>
    <t>JSC4243</t>
  </si>
  <si>
    <t>Dean involved</t>
  </si>
  <si>
    <t>1x cut insulation</t>
  </si>
  <si>
    <t>Total despatched</t>
  </si>
  <si>
    <t>x1 failed tracking</t>
  </si>
  <si>
    <t>x1 failed</t>
  </si>
  <si>
    <t>1 concession request to Malc (e-mailed) for 17G00643</t>
  </si>
  <si>
    <t>batch split as 7+1</t>
  </si>
  <si>
    <t>Month plan</t>
  </si>
  <si>
    <t>Assembled</t>
  </si>
  <si>
    <t>White board - Work in progress D46814</t>
  </si>
  <si>
    <t>Output month no</t>
  </si>
  <si>
    <t>Year</t>
  </si>
  <si>
    <t>Went for welding 7/8/18 9:00</t>
  </si>
  <si>
    <t>Dean involved
Went for welding 7/8/18 9:00</t>
  </si>
  <si>
    <t>Dean involved, 
went for welding 7/8/18 9:00
back from welding 9/8/18 11:30</t>
  </si>
  <si>
    <t>JSC4570</t>
  </si>
  <si>
    <t>JSC4571</t>
  </si>
  <si>
    <t>JSC4619</t>
  </si>
  <si>
    <t>Operator</t>
  </si>
  <si>
    <t>Dean</t>
  </si>
  <si>
    <t>Martin</t>
  </si>
  <si>
    <t>Dean involved
Martin holiday 27/8/18 - 7/9/18</t>
  </si>
  <si>
    <t>JSC4942</t>
  </si>
  <si>
    <t>JSC4943</t>
  </si>
  <si>
    <t>JSC4976</t>
  </si>
  <si>
    <t>JSC4977</t>
  </si>
  <si>
    <t>JSC4978</t>
  </si>
  <si>
    <t>heatshrink -11.81" - ok
shafts - 9x - ok</t>
  </si>
  <si>
    <t>end cap x8 - ok</t>
  </si>
  <si>
    <t>JSC5143</t>
  </si>
  <si>
    <t>JSC5142</t>
  </si>
  <si>
    <t>JSC5144</t>
  </si>
  <si>
    <t>JSC5145</t>
  </si>
  <si>
    <t>JSC5146</t>
  </si>
  <si>
    <t>Dean involved
Martin holiday 27/8/18 - 7/9/18
welding skipped - done</t>
  </si>
  <si>
    <t>Martin holiday 27/8/18 - 7/9/18</t>
  </si>
  <si>
    <t>coupling x1 - ok</t>
  </si>
  <si>
    <t>1x wire damaged insulation</t>
  </si>
  <si>
    <t>Manager / Planner review</t>
  </si>
  <si>
    <t>Vincent</t>
  </si>
  <si>
    <t>couplings x8 - ok
shafts x9 - ok</t>
  </si>
  <si>
    <t xml:space="preserve">couplings x8 - ok
</t>
  </si>
  <si>
    <t xml:space="preserve">
welding skipped - ok</t>
  </si>
  <si>
    <t>welding skipped - ok</t>
  </si>
  <si>
    <t>19/09/2018
27/09/2018</t>
  </si>
  <si>
    <t>JSC5526</t>
  </si>
  <si>
    <t>holiday 15/10 - 19/10</t>
  </si>
  <si>
    <t>In stock (month begins)</t>
  </si>
  <si>
    <t>only label needed</t>
  </si>
  <si>
    <t>winding pairs x8 - ok
body x1 - lent for investigation - ok</t>
  </si>
  <si>
    <t>18/09/2018
12/10/2018</t>
  </si>
  <si>
    <t>JSC5527</t>
  </si>
  <si>
    <t>JSC5632</t>
  </si>
  <si>
    <t>JSC5892</t>
  </si>
  <si>
    <t>JSC5893</t>
  </si>
  <si>
    <t>JSC6066</t>
  </si>
  <si>
    <t>Relevant to</t>
  </si>
  <si>
    <t>JSC6065</t>
  </si>
  <si>
    <t>Date job arrived</t>
  </si>
  <si>
    <t>Are there shortages</t>
  </si>
  <si>
    <t>List of part and quantity of each short</t>
  </si>
  <si>
    <t>ALT + Enter adds new line, when shortage filled add "- ok"</t>
  </si>
  <si>
    <t>Date shortage filled</t>
  </si>
  <si>
    <t>Add date for each item (part)</t>
  </si>
  <si>
    <t>Name of the opeator</t>
  </si>
  <si>
    <t>Pick name from the list. If missing add it to the list "Operators" on "List" sheet.</t>
  </si>
  <si>
    <t>Presently it is Friday. Eswtimated or agreed date of despatch.</t>
  </si>
  <si>
    <t>Most likely number of units for despatch. When scrap lower the number.</t>
  </si>
  <si>
    <t>Number of units scrap with reason</t>
  </si>
  <si>
    <t>For each unit scrap give reason.</t>
  </si>
  <si>
    <t>RTV</t>
  </si>
  <si>
    <t>Date and time to track RTV cure</t>
  </si>
  <si>
    <t>48 hour minimum cure.</t>
  </si>
  <si>
    <t>All</t>
  </si>
  <si>
    <t>Note and or message</t>
  </si>
  <si>
    <t>In stock</t>
  </si>
  <si>
    <t>Planed month for output</t>
  </si>
  <si>
    <t>Planed year for output</t>
  </si>
  <si>
    <t>Other calculated fields depend on this column</t>
  </si>
  <si>
    <t>In stock in the beginning of the month</t>
  </si>
  <si>
    <t>Planed number of units for output</t>
  </si>
  <si>
    <t>Planing manager, planers, team leader</t>
  </si>
  <si>
    <t>Units assembled</t>
  </si>
  <si>
    <t>Units still needed to be assembled</t>
  </si>
  <si>
    <t>Columns description</t>
  </si>
  <si>
    <r>
      <rPr>
        <b/>
        <sz val="11"/>
        <color theme="1"/>
        <rFont val="Calibri"/>
        <family val="2"/>
        <scheme val="minor"/>
      </rPr>
      <t>Calculated field</t>
    </r>
    <r>
      <rPr>
        <sz val="11"/>
        <color theme="1"/>
        <rFont val="Calibri"/>
        <family val="2"/>
        <scheme val="minor"/>
      </rPr>
      <t xml:space="preserve">. It includes prediction (most likely assembled). 
</t>
    </r>
    <r>
      <rPr>
        <i/>
        <sz val="11"/>
        <color theme="1"/>
        <rFont val="Calibri"/>
        <family val="2"/>
        <scheme val="minor"/>
      </rPr>
      <t>Formula: Summary of "Out qty"</t>
    </r>
    <r>
      <rPr>
        <sz val="11"/>
        <color theme="1"/>
        <rFont val="Calibri"/>
        <family val="2"/>
        <scheme val="minor"/>
      </rPr>
      <t>.</t>
    </r>
  </si>
  <si>
    <r>
      <rPr>
        <b/>
        <sz val="11"/>
        <color theme="1"/>
        <rFont val="Calibri"/>
        <family val="2"/>
        <scheme val="minor"/>
      </rPr>
      <t>Calculated field</t>
    </r>
    <r>
      <rPr>
        <sz val="11"/>
        <color theme="1"/>
        <rFont val="Calibri"/>
        <family val="2"/>
        <scheme val="minor"/>
      </rPr>
      <t xml:space="preserve">. </t>
    </r>
    <r>
      <rPr>
        <i/>
        <sz val="11"/>
        <color theme="1"/>
        <rFont val="Calibri"/>
        <family val="2"/>
        <scheme val="minor"/>
      </rPr>
      <t>Formula: Month plan - In stock - Assembled</t>
    </r>
  </si>
  <si>
    <t>Calculated field.</t>
  </si>
  <si>
    <t>Column</t>
  </si>
  <si>
    <t>Operator only</t>
  </si>
  <si>
    <t>Calculations:</t>
  </si>
  <si>
    <t>Job number: stays visible when moving from column to column.</t>
  </si>
  <si>
    <t>Section "In stock, Month plan, Output month, Year" are ment for Manager / Planner to maintain. Section is marked in its header to highlight it.</t>
  </si>
  <si>
    <t>It will add new record to the table with all relevant drop-down lists, calculations and formating.</t>
  </si>
  <si>
    <t>See Columns description sheet for more.</t>
  </si>
  <si>
    <t>Drop-down lists:</t>
  </si>
  <si>
    <t>In top left corner press on "Last record" button. It will move cursor to the last existing row. Top row with columns header stays visible.</t>
  </si>
  <si>
    <t>JSC6157</t>
  </si>
  <si>
    <t>JSC6158</t>
  </si>
  <si>
    <t>heatshrink - ok
end cups x4 - ok</t>
  </si>
  <si>
    <t>31/10/2018
19/11/2018</t>
  </si>
  <si>
    <t>heatshrink - ok
end cap x8 - ok</t>
  </si>
  <si>
    <t>heatshrink ok
end cap x8 - ok</t>
  </si>
  <si>
    <t>end caps x8 - ok</t>
  </si>
  <si>
    <t>tab washer x5 - ok
end cap x8 - ok</t>
  </si>
  <si>
    <t>19/11/2018
19/11/2018</t>
  </si>
  <si>
    <r>
      <rPr>
        <i/>
        <sz val="16"/>
        <color theme="0"/>
        <rFont val="Calibri"/>
        <family val="2"/>
        <scheme val="minor"/>
      </rPr>
      <t>Read</t>
    </r>
    <r>
      <rPr>
        <i/>
        <sz val="16"/>
        <color theme="7"/>
        <rFont val="Calibri"/>
        <family val="2"/>
        <scheme val="minor"/>
      </rPr>
      <t xml:space="preserve"> </t>
    </r>
    <r>
      <rPr>
        <i/>
        <sz val="20"/>
        <color theme="7"/>
        <rFont val="Calibri"/>
        <family val="2"/>
        <scheme val="minor"/>
      </rPr>
      <t>'</t>
    </r>
    <r>
      <rPr>
        <b/>
        <i/>
        <sz val="20"/>
        <color theme="7"/>
        <rFont val="Calibri"/>
        <family val="2"/>
        <scheme val="minor"/>
      </rPr>
      <t>How to use'</t>
    </r>
    <r>
      <rPr>
        <i/>
        <sz val="16"/>
        <color theme="0"/>
        <rFont val="Calibri"/>
        <family val="2"/>
        <scheme val="minor"/>
      </rPr>
      <t xml:space="preserve"> first</t>
    </r>
  </si>
  <si>
    <t>Manager / planner to fill in</t>
  </si>
  <si>
    <t>JSC6255</t>
  </si>
  <si>
    <t>JSC6254</t>
  </si>
  <si>
    <t>bodies x8</t>
  </si>
  <si>
    <t>JSC6332</t>
  </si>
  <si>
    <t>JSC6333</t>
  </si>
  <si>
    <t>x1 - failed tracking</t>
  </si>
  <si>
    <t>JSC6445</t>
  </si>
  <si>
    <t>bodies x8
shaft x16
windings x6</t>
  </si>
  <si>
    <t>bodies x3
bodies x5
winding x1</t>
  </si>
  <si>
    <t>JSC6533</t>
  </si>
  <si>
    <t>05/12/2018
07/12/2018
10/12/2018</t>
  </si>
  <si>
    <t>bodies x8
windings x8
shafts x5
shafts x11</t>
  </si>
  <si>
    <t>03/12/2018
05/12/2018
10/12/2018</t>
  </si>
  <si>
    <t>05/12/2018
10/12/2018
07/12/2018
17/12/2018</t>
  </si>
  <si>
    <r>
      <t xml:space="preserve">despatch on time depends on shortageses filled 29/11/2018 morning
1 winding de-kited and moved to JSC6255
despatch moved to </t>
    </r>
    <r>
      <rPr>
        <b/>
        <sz val="12"/>
        <color rgb="FFFF0000"/>
        <rFont val="Calibri"/>
        <family val="2"/>
        <scheme val="minor"/>
      </rPr>
      <t xml:space="preserve">21/12/2018 </t>
    </r>
    <r>
      <rPr>
        <sz val="11"/>
        <color rgb="FFFF0000"/>
        <rFont val="Calibri"/>
        <family val="2"/>
        <scheme val="minor"/>
      </rPr>
      <t>from 14/12/2018
LATE, after lunch</t>
    </r>
  </si>
  <si>
    <r>
      <t xml:space="preserve">made mistake with heatcycling moved from 14/12/2018 to the following week
</t>
    </r>
    <r>
      <rPr>
        <sz val="11"/>
        <color rgb="FFFF0000"/>
        <rFont val="Calibri"/>
        <family val="2"/>
        <scheme val="minor"/>
      </rPr>
      <t>LATE, after lunch</t>
    </r>
  </si>
  <si>
    <t>JSC6761</t>
  </si>
  <si>
    <t>JSC6762</t>
  </si>
  <si>
    <t>sleeve</t>
  </si>
  <si>
    <t>JSC6784</t>
  </si>
  <si>
    <t>body x8
shaft x5
winding x8</t>
  </si>
  <si>
    <t>JSC6785</t>
  </si>
  <si>
    <t>despatch moved to next year
1 pair of windings moved to jsc6254
welding skipped - done</t>
  </si>
  <si>
    <t>heatcycle first after New year</t>
  </si>
  <si>
    <t>Other calculated fields depend on this column
Fill 1st row (job) of the month, leave other (darker fill) rows blank</t>
  </si>
  <si>
    <t>Still required</t>
  </si>
  <si>
    <t>Help</t>
  </si>
  <si>
    <t>In the following row type in job number.
It can be blank character or just a word or words like "new job".</t>
  </si>
  <si>
    <t>Section "% done, Operator, Out by, Out qty" are segregated with thick vertical line with header "Manager / Planner review".
It is to be managed by operator. Date can be negotiated when possible.</t>
  </si>
  <si>
    <t>Required</t>
  </si>
  <si>
    <r>
      <t xml:space="preserve">Formating:
</t>
    </r>
    <r>
      <rPr>
        <i/>
        <sz val="11"/>
        <color theme="1"/>
        <rFont val="Calibri"/>
        <family val="2"/>
        <scheme val="minor"/>
      </rPr>
      <t>Job number</t>
    </r>
    <r>
      <rPr>
        <sz val="11"/>
        <color theme="1"/>
        <rFont val="Calibri"/>
        <family val="2"/>
        <scheme val="minor"/>
      </rPr>
      <t xml:space="preserve">: inherits background colour from Output month background colour.
</t>
    </r>
    <r>
      <rPr>
        <i/>
        <sz val="11"/>
        <color theme="1"/>
        <rFont val="Calibri"/>
        <family val="2"/>
        <scheme val="minor"/>
      </rPr>
      <t>% done</t>
    </r>
    <r>
      <rPr>
        <sz val="11"/>
        <color theme="1"/>
        <rFont val="Calibri"/>
        <family val="2"/>
        <scheme val="minor"/>
      </rPr>
      <t xml:space="preserve">: changes colour from brown to green as it nears completion.
</t>
    </r>
    <r>
      <rPr>
        <i/>
        <sz val="11"/>
        <color theme="1"/>
        <rFont val="Calibri"/>
        <family val="2"/>
        <scheme val="minor"/>
      </rPr>
      <t>Output month</t>
    </r>
    <r>
      <rPr>
        <sz val="11"/>
        <color theme="1"/>
        <rFont val="Calibri"/>
        <family val="2"/>
        <scheme val="minor"/>
      </rPr>
      <t>: change background colour between blue and green and foreground changes colour between white and black.</t>
    </r>
  </si>
  <si>
    <t>After a new record is added table will be formatted to 4 sections.</t>
  </si>
  <si>
    <t>All other columns with no group / section header are in forth section.</t>
  </si>
  <si>
    <t>Summary trigger stage number</t>
  </si>
  <si>
    <t>sleeve
body x5
winding x4+x2 (dekited and moved to jsc6762)</t>
  </si>
  <si>
    <t>winding x4
winding x4
cable support x8
shaft x16
body x8</t>
  </si>
  <si>
    <t xml:space="preserve">18/12/2108
03/01/2019
04/01/2019
</t>
  </si>
  <si>
    <t>JSC6715</t>
  </si>
  <si>
    <t>shafts x16</t>
  </si>
  <si>
    <t>03/01/2019
07/01/2019
04/01/2019</t>
  </si>
  <si>
    <t>04/01/2019
04/01/2019
20/12/2018
07/01/2109
03/01/2019</t>
  </si>
  <si>
    <t>shafts x16
bodies x5
tab washer x1</t>
  </si>
  <si>
    <t>JSC6816</t>
  </si>
  <si>
    <t>07/07/2019
09/01/2019
07/01/2019</t>
  </si>
  <si>
    <t>Month (Plan)</t>
  </si>
  <si>
    <t>Month (plan) Quantity</t>
  </si>
  <si>
    <t>Year (Plan)</t>
  </si>
  <si>
    <t>Month number (Plan)</t>
  </si>
  <si>
    <t>2017</t>
  </si>
  <si>
    <t>2018</t>
  </si>
  <si>
    <t>2019</t>
  </si>
  <si>
    <t>Grand Total</t>
  </si>
  <si>
    <t>Plan</t>
  </si>
  <si>
    <t>Output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</si>
</sst>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2" x14ac:knownFonts="1">
    <font>
      <sz val="11"/>
      <color theme="1"/>
      <name val="Calibri"/>
      <family val="2"/>
      <scheme val="minor"/>
    </font>
    <font>
      <b/>
      <sz val="12"/>
      <color theme="1"/>
      <name val="Calibri"/>
      <family val="2"/>
      <scheme val="minor"/>
    </font>
    <font>
      <sz val="14"/>
      <color theme="1"/>
      <name val="Calibri"/>
      <family val="2"/>
      <scheme val="minor"/>
    </font>
    <font>
      <sz val="14"/>
      <color theme="1"/>
      <name val="Calibri"/>
      <family val="2"/>
      <scheme val="minor"/>
    </font>
    <font>
      <sz val="9"/>
      <color indexed="81"/>
      <name val="Tahoma"/>
      <family val="2"/>
    </font>
    <font>
      <b/>
      <sz val="9"/>
      <color indexed="81"/>
      <name val="Tahoma"/>
      <family val="2"/>
    </font>
    <font>
      <sz val="11"/>
      <color theme="5"/>
      <name val="Calibri"/>
      <family val="2"/>
      <scheme val="minor"/>
    </font>
    <font>
      <sz val="11"/>
      <color theme="8" tint="-0.249977111117893"/>
      <name val="Calibri"/>
      <family val="2"/>
      <scheme val="minor"/>
    </font>
    <font>
      <sz val="11"/>
      <name val="Calibri"/>
      <family val="2"/>
      <scheme val="minor"/>
    </font>
    <font>
      <sz val="11"/>
      <color theme="1"/>
      <name val="Calibri"/>
      <family val="2"/>
      <scheme val="minor"/>
    </font>
    <font>
      <b/>
      <sz val="11"/>
      <color theme="1"/>
      <name val="Calibri"/>
      <family val="2"/>
      <scheme val="minor"/>
    </font>
    <font>
      <b/>
      <i/>
      <sz val="10"/>
      <color theme="7" tint="-0.249977111117893"/>
      <name val="Calibri"/>
      <family val="2"/>
      <scheme val="minor"/>
    </font>
    <font>
      <strike/>
      <sz val="11"/>
      <color theme="1"/>
      <name val="Calibri"/>
      <family val="2"/>
      <scheme val="minor"/>
    </font>
    <font>
      <b/>
      <sz val="11"/>
      <color rgb="FF7030A0"/>
      <name val="Calibri"/>
      <family val="2"/>
      <scheme val="minor"/>
    </font>
    <font>
      <sz val="11"/>
      <color rgb="FFFF0000"/>
      <name val="Calibri"/>
      <family val="2"/>
      <scheme val="minor"/>
    </font>
    <font>
      <b/>
      <sz val="20"/>
      <color theme="0"/>
      <name val="Calibri"/>
      <family val="2"/>
      <scheme val="minor"/>
    </font>
    <font>
      <b/>
      <sz val="28"/>
      <color theme="0"/>
      <name val="Calibri"/>
      <family val="2"/>
      <scheme val="minor"/>
    </font>
    <font>
      <i/>
      <sz val="11"/>
      <color theme="1"/>
      <name val="Calibri"/>
      <family val="2"/>
      <scheme val="minor"/>
    </font>
    <font>
      <b/>
      <sz val="11"/>
      <color rgb="FFFF0000"/>
      <name val="Calibri"/>
      <family val="2"/>
      <scheme val="minor"/>
    </font>
    <font>
      <sz val="11"/>
      <color theme="0"/>
      <name val="Calibri"/>
      <family val="2"/>
      <scheme val="minor"/>
    </font>
    <font>
      <b/>
      <sz val="20"/>
      <color theme="1"/>
      <name val="Calibri"/>
      <family val="2"/>
      <scheme val="minor"/>
    </font>
    <font>
      <b/>
      <sz val="11"/>
      <color theme="0"/>
      <name val="Calibri"/>
      <family val="2"/>
      <scheme val="minor"/>
    </font>
    <font>
      <b/>
      <sz val="11"/>
      <color theme="5"/>
      <name val="Calibri"/>
      <family val="2"/>
      <scheme val="minor"/>
    </font>
    <font>
      <b/>
      <sz val="11"/>
      <color theme="8" tint="-0.249977111117893"/>
      <name val="Calibri"/>
      <family val="2"/>
      <scheme val="minor"/>
    </font>
    <font>
      <b/>
      <sz val="11"/>
      <name val="Calibri"/>
      <family val="2"/>
      <scheme val="minor"/>
    </font>
    <font>
      <b/>
      <i/>
      <sz val="11"/>
      <color theme="1"/>
      <name val="Calibri"/>
      <family val="2"/>
      <scheme val="minor"/>
    </font>
    <font>
      <i/>
      <sz val="20"/>
      <color theme="0"/>
      <name val="Calibri"/>
      <family val="2"/>
      <scheme val="minor"/>
    </font>
    <font>
      <i/>
      <sz val="20"/>
      <color theme="7"/>
      <name val="Calibri"/>
      <family val="2"/>
      <scheme val="minor"/>
    </font>
    <font>
      <b/>
      <i/>
      <sz val="20"/>
      <color theme="7"/>
      <name val="Calibri"/>
      <family val="2"/>
      <scheme val="minor"/>
    </font>
    <font>
      <i/>
      <sz val="16"/>
      <color theme="0"/>
      <name val="Calibri"/>
      <family val="2"/>
      <scheme val="minor"/>
    </font>
    <font>
      <i/>
      <sz val="16"/>
      <color theme="7"/>
      <name val="Calibri"/>
      <family val="2"/>
      <scheme val="minor"/>
    </font>
    <font>
      <sz val="18"/>
      <color theme="5"/>
      <name val="Calibri"/>
      <family val="2"/>
      <scheme val="minor"/>
    </font>
    <font>
      <b/>
      <sz val="12"/>
      <color rgb="FFFF0000"/>
      <name val="Calibri"/>
      <family val="2"/>
      <scheme val="minor"/>
    </font>
    <font>
      <sz val="11"/>
      <name val="Calibri"/>
      <family val="2"/>
      <scheme val="minor"/>
    </font>
    <font>
      <sz val="11"/>
      <name val="Calibri"/>
      <family val="2"/>
      <scheme val="minor"/>
    </font>
    <font>
      <b/>
      <sz val="11"/>
      <color rgb="FF000000"/>
      <name val="Calibri"/>
      <family val="2"/>
    </font>
    <font>
      <b/>
      <sz val="14"/>
      <color rgb="FF000000"/>
      <name val="Calibri"/>
      <family val="2"/>
    </font>
    <font>
      <sz val="11"/>
      <name val="Calibri"/>
      <family val="2"/>
      <scheme val="minor"/>
    </font>
    <font>
      <u/>
      <sz val="11"/>
      <color theme="10"/>
      <name val="Calibri"/>
      <family val="2"/>
      <scheme val="minor"/>
    </font>
    <font>
      <u/>
      <sz val="20"/>
      <color theme="10"/>
      <name val="Calibri"/>
      <family val="2"/>
      <scheme val="minor"/>
    </font>
    <font>
      <sz val="20"/>
      <color theme="0"/>
      <name val="Calibri"/>
      <family val="2"/>
      <scheme val="minor"/>
    </font>
    <font>
      <sz val="10"/>
      <color theme="1"/>
      <name val="Calibri"/>
      <family val="2"/>
      <scheme val="minor"/>
    </font>
  </fonts>
  <fills count="12">
    <fill>
      <patternFill patternType="none"/>
    </fill>
    <fill>
      <patternFill patternType="gray125"/>
    </fill>
    <fill>
      <patternFill patternType="solid">
        <fgColor theme="4"/>
        <bgColor indexed="64"/>
      </patternFill>
    </fill>
    <fill>
      <patternFill patternType="solid">
        <fgColor theme="7" tint="0.79998168889431442"/>
        <bgColor indexed="64"/>
      </patternFill>
    </fill>
    <fill>
      <patternFill patternType="solid">
        <fgColor theme="4" tint="0.79998168889431442"/>
        <bgColor theme="4" tint="0.79998168889431442"/>
      </patternFill>
    </fill>
    <fill>
      <patternFill patternType="solid">
        <fgColor theme="9" tint="0.59999389629810485"/>
        <bgColor indexed="64"/>
      </patternFill>
    </fill>
    <fill>
      <patternFill patternType="solid">
        <fgColor theme="8"/>
      </patternFill>
    </fill>
    <fill>
      <patternFill patternType="solid">
        <fgColor theme="4"/>
      </patternFill>
    </fill>
    <fill>
      <patternFill patternType="solid">
        <fgColor theme="6" tint="0.79998168889431442"/>
        <bgColor indexed="65"/>
      </patternFill>
    </fill>
    <fill>
      <patternFill patternType="solid">
        <fgColor theme="8"/>
        <bgColor indexed="64"/>
      </patternFill>
    </fill>
    <fill>
      <patternFill patternType="solid">
        <fgColor theme="8"/>
        <bgColor theme="4" tint="0.79995117038483843"/>
      </patternFill>
    </fill>
    <fill>
      <patternFill patternType="solid">
        <fgColor theme="4" tint="0.79998168889431442"/>
        <bgColor indexed="65"/>
      </patternFill>
    </fill>
  </fills>
  <borders count="50">
    <border>
      <left/>
      <right/>
      <top/>
      <bottom/>
      <diagonal/>
    </border>
    <border>
      <left/>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theme="4"/>
      </left>
      <right style="thin">
        <color theme="4"/>
      </right>
      <top style="thin">
        <color theme="4"/>
      </top>
      <bottom style="thin">
        <color theme="4"/>
      </bottom>
      <diagonal/>
    </border>
    <border>
      <left/>
      <right style="thin">
        <color theme="4"/>
      </right>
      <top style="thin">
        <color theme="4"/>
      </top>
      <bottom style="thin">
        <color theme="4"/>
      </bottom>
      <diagonal/>
    </border>
    <border>
      <left style="medium">
        <color indexed="64"/>
      </left>
      <right style="medium">
        <color indexed="64"/>
      </right>
      <top/>
      <bottom/>
      <diagonal/>
    </border>
    <border>
      <left style="medium">
        <color indexed="64"/>
      </left>
      <right style="medium">
        <color indexed="64"/>
      </right>
      <top style="thin">
        <color theme="4"/>
      </top>
      <bottom style="thin">
        <color theme="4"/>
      </bottom>
      <diagonal/>
    </border>
    <border>
      <left style="thin">
        <color theme="4"/>
      </left>
      <right style="thin">
        <color theme="4"/>
      </right>
      <top/>
      <bottom style="thin">
        <color theme="4"/>
      </bottom>
      <diagonal/>
    </border>
    <border>
      <left style="thin">
        <color theme="4"/>
      </left>
      <right/>
      <top/>
      <bottom style="thin">
        <color theme="4"/>
      </bottom>
      <diagonal/>
    </border>
    <border>
      <left/>
      <right style="thin">
        <color theme="4"/>
      </right>
      <top/>
      <bottom style="thin">
        <color theme="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bottom style="thin">
        <color indexed="64"/>
      </bottom>
      <diagonal/>
    </border>
    <border>
      <left style="medium">
        <color indexed="64"/>
      </left>
      <right style="thin">
        <color indexed="64"/>
      </right>
      <top/>
      <bottom style="double">
        <color indexed="64"/>
      </bottom>
      <diagonal/>
    </border>
    <border>
      <left/>
      <right/>
      <top/>
      <bottom style="double">
        <color indexed="64"/>
      </bottom>
      <diagonal/>
    </border>
    <border>
      <left/>
      <right style="thin">
        <color indexed="64"/>
      </right>
      <top/>
      <bottom style="double">
        <color indexed="64"/>
      </bottom>
      <diagonal/>
    </border>
    <border>
      <left/>
      <right style="medium">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double">
        <color indexed="64"/>
      </top>
      <bottom style="thin">
        <color indexed="64"/>
      </bottom>
      <diagonal/>
    </border>
  </borders>
  <cellStyleXfs count="7">
    <xf numFmtId="0" fontId="0" fillId="0" borderId="0"/>
    <xf numFmtId="9" fontId="9" fillId="0" borderId="0" applyFont="0" applyFill="0" applyBorder="0" applyAlignment="0" applyProtection="0"/>
    <xf numFmtId="0" fontId="19" fillId="6" borderId="0" applyNumberFormat="0" applyBorder="0" applyAlignment="0" applyProtection="0"/>
    <xf numFmtId="0" fontId="19" fillId="7" borderId="0" applyNumberFormat="0" applyBorder="0" applyAlignment="0" applyProtection="0"/>
    <xf numFmtId="0" fontId="9" fillId="8" borderId="0" applyNumberFormat="0" applyBorder="0" applyAlignment="0" applyProtection="0"/>
    <xf numFmtId="0" fontId="38" fillId="0" borderId="0" applyNumberFormat="0" applyFill="0" applyBorder="0" applyAlignment="0" applyProtection="0"/>
    <xf numFmtId="0" fontId="9" fillId="11" borderId="0" applyNumberFormat="0" applyBorder="0" applyAlignment="0" applyProtection="0"/>
  </cellStyleXfs>
  <cellXfs count="172">
    <xf numFmtId="0" fontId="0" fillId="0" borderId="0" xfId="0"/>
    <xf numFmtId="0" fontId="2" fillId="0" borderId="0" xfId="0" applyFont="1"/>
    <xf numFmtId="0" fontId="3" fillId="0" borderId="0" xfId="0" applyFont="1"/>
    <xf numFmtId="0" fontId="0" fillId="0" borderId="1" xfId="0" applyBorder="1"/>
    <xf numFmtId="2" fontId="0" fillId="0" borderId="1" xfId="0" applyNumberFormat="1" applyBorder="1"/>
    <xf numFmtId="0" fontId="0" fillId="0" borderId="2" xfId="0" applyBorder="1"/>
    <xf numFmtId="2" fontId="0" fillId="0" borderId="0" xfId="0" applyNumberFormat="1" applyBorder="1"/>
    <xf numFmtId="0" fontId="0" fillId="0" borderId="5" xfId="0" applyBorder="1"/>
    <xf numFmtId="2" fontId="0" fillId="0" borderId="6" xfId="0" applyNumberFormat="1" applyBorder="1"/>
    <xf numFmtId="0" fontId="1" fillId="0" borderId="7" xfId="0" applyFont="1" applyBorder="1"/>
    <xf numFmtId="0" fontId="1" fillId="0" borderId="8" xfId="0" applyFont="1" applyBorder="1"/>
    <xf numFmtId="0" fontId="0" fillId="0" borderId="9" xfId="0" applyBorder="1"/>
    <xf numFmtId="0" fontId="0" fillId="0" borderId="0" xfId="0" applyBorder="1"/>
    <xf numFmtId="10" fontId="0" fillId="0" borderId="0" xfId="1" applyNumberFormat="1" applyFont="1" applyBorder="1"/>
    <xf numFmtId="10" fontId="0" fillId="0" borderId="1" xfId="1" applyNumberFormat="1" applyFont="1" applyBorder="1"/>
    <xf numFmtId="0" fontId="0" fillId="0" borderId="8" xfId="0" applyBorder="1"/>
    <xf numFmtId="10" fontId="0" fillId="0" borderId="6" xfId="0" applyNumberFormat="1" applyBorder="1"/>
    <xf numFmtId="10" fontId="10" fillId="0" borderId="0" xfId="1" applyNumberFormat="1" applyFont="1" applyBorder="1"/>
    <xf numFmtId="2" fontId="9" fillId="0" borderId="0" xfId="1" applyNumberFormat="1" applyFont="1" applyBorder="1"/>
    <xf numFmtId="0" fontId="9" fillId="0" borderId="0" xfId="1" applyNumberFormat="1" applyFont="1" applyBorder="1"/>
    <xf numFmtId="10" fontId="0" fillId="0" borderId="6" xfId="1" applyNumberFormat="1" applyFont="1" applyBorder="1"/>
    <xf numFmtId="10" fontId="0" fillId="0" borderId="11" xfId="1" applyNumberFormat="1" applyFont="1" applyBorder="1"/>
    <xf numFmtId="0" fontId="0" fillId="0" borderId="12" xfId="0" applyBorder="1"/>
    <xf numFmtId="0" fontId="0" fillId="0" borderId="13" xfId="0" applyBorder="1"/>
    <xf numFmtId="0" fontId="0" fillId="0" borderId="14" xfId="0" applyBorder="1"/>
    <xf numFmtId="0" fontId="0" fillId="3" borderId="13" xfId="0" applyFill="1" applyBorder="1"/>
    <xf numFmtId="0" fontId="0" fillId="0" borderId="16" xfId="0" applyBorder="1"/>
    <xf numFmtId="0" fontId="0" fillId="0" borderId="17" xfId="0" applyBorder="1"/>
    <xf numFmtId="0" fontId="0" fillId="0" borderId="13" xfId="0" applyFill="1" applyBorder="1"/>
    <xf numFmtId="0" fontId="0" fillId="0" borderId="0" xfId="0" applyFill="1" applyBorder="1"/>
    <xf numFmtId="0" fontId="11" fillId="0" borderId="0" xfId="0" applyFont="1" applyFill="1" applyBorder="1" applyAlignment="1">
      <alignment horizontal="left"/>
    </xf>
    <xf numFmtId="0" fontId="0" fillId="0" borderId="15" xfId="0" applyBorder="1"/>
    <xf numFmtId="0" fontId="0" fillId="0" borderId="0" xfId="0" applyFill="1"/>
    <xf numFmtId="0" fontId="6" fillId="0" borderId="0" xfId="0" applyFont="1" applyFill="1"/>
    <xf numFmtId="0" fontId="7" fillId="0" borderId="0" xfId="0" applyFont="1" applyFill="1"/>
    <xf numFmtId="0" fontId="8" fillId="0" borderId="0" xfId="0" applyFont="1" applyFill="1" applyAlignment="1">
      <alignment wrapText="1"/>
    </xf>
    <xf numFmtId="0" fontId="17" fillId="0" borderId="0" xfId="0" applyFont="1" applyBorder="1"/>
    <xf numFmtId="0" fontId="0" fillId="0" borderId="0" xfId="1" applyNumberFormat="1" applyFont="1" applyBorder="1"/>
    <xf numFmtId="0" fontId="10" fillId="0" borderId="2" xfId="0" applyFont="1" applyBorder="1"/>
    <xf numFmtId="0" fontId="10" fillId="0" borderId="4" xfId="0" applyFont="1" applyBorder="1"/>
    <xf numFmtId="14" fontId="0" fillId="0" borderId="0" xfId="0" applyNumberFormat="1" applyFill="1"/>
    <xf numFmtId="0" fontId="0" fillId="0" borderId="0" xfId="0" applyFill="1" applyAlignment="1">
      <alignment wrapText="1"/>
    </xf>
    <xf numFmtId="14" fontId="6" fillId="0" borderId="0" xfId="0" applyNumberFormat="1" applyFont="1" applyFill="1"/>
    <xf numFmtId="14" fontId="7" fillId="0" borderId="0" xfId="0" applyNumberFormat="1" applyFont="1" applyFill="1"/>
    <xf numFmtId="22" fontId="0" fillId="0" borderId="0" xfId="0" applyNumberFormat="1" applyFill="1"/>
    <xf numFmtId="14" fontId="0" fillId="0" borderId="0" xfId="0" applyNumberFormat="1" applyFill="1" applyAlignment="1">
      <alignment wrapText="1"/>
    </xf>
    <xf numFmtId="0" fontId="2" fillId="0" borderId="0" xfId="0" applyFont="1" applyAlignment="1">
      <alignment wrapText="1"/>
    </xf>
    <xf numFmtId="0" fontId="0" fillId="5" borderId="21" xfId="0" applyFont="1" applyFill="1" applyBorder="1"/>
    <xf numFmtId="0" fontId="19" fillId="6" borderId="0" xfId="2"/>
    <xf numFmtId="0" fontId="14" fillId="0" borderId="0" xfId="0" applyFont="1" applyFill="1"/>
    <xf numFmtId="0" fontId="0" fillId="0" borderId="0" xfId="0" applyNumberFormat="1" applyFill="1"/>
    <xf numFmtId="14" fontId="0" fillId="0" borderId="0" xfId="0" applyNumberFormat="1" applyFill="1" applyBorder="1"/>
    <xf numFmtId="0" fontId="2" fillId="0" borderId="2" xfId="0" applyFont="1" applyBorder="1"/>
    <xf numFmtId="0" fontId="0" fillId="0" borderId="3" xfId="0" applyFill="1" applyBorder="1"/>
    <xf numFmtId="0" fontId="0" fillId="0" borderId="2" xfId="0" applyFill="1" applyBorder="1"/>
    <xf numFmtId="0" fontId="2" fillId="0" borderId="2" xfId="0" applyFont="1" applyBorder="1" applyAlignment="1">
      <alignment wrapText="1"/>
    </xf>
    <xf numFmtId="0" fontId="2" fillId="0" borderId="0" xfId="0" applyFont="1" applyBorder="1" applyAlignment="1">
      <alignment wrapText="1"/>
    </xf>
    <xf numFmtId="0" fontId="2" fillId="0" borderId="3" xfId="0" applyFont="1" applyBorder="1" applyAlignment="1">
      <alignment wrapText="1"/>
    </xf>
    <xf numFmtId="0" fontId="0" fillId="0" borderId="0" xfId="0" applyNumberFormat="1" applyFill="1" applyBorder="1"/>
    <xf numFmtId="0" fontId="0" fillId="4" borderId="25" xfId="0" applyFont="1" applyFill="1" applyBorder="1"/>
    <xf numFmtId="0" fontId="0" fillId="4" borderId="26" xfId="0" applyFont="1" applyFill="1" applyBorder="1"/>
    <xf numFmtId="0" fontId="0" fillId="4" borderId="27" xfId="0" applyFont="1" applyFill="1" applyBorder="1"/>
    <xf numFmtId="0" fontId="0" fillId="0" borderId="3" xfId="0" applyFont="1" applyFill="1" applyBorder="1"/>
    <xf numFmtId="0" fontId="20" fillId="4" borderId="26" xfId="0" applyFont="1" applyFill="1" applyBorder="1" applyAlignment="1"/>
    <xf numFmtId="0" fontId="20" fillId="4" borderId="25" xfId="0" applyFont="1" applyFill="1" applyBorder="1"/>
    <xf numFmtId="0" fontId="2" fillId="0" borderId="0" xfId="0" applyFont="1" applyBorder="1"/>
    <xf numFmtId="0" fontId="2" fillId="0" borderId="3" xfId="0" applyFont="1" applyBorder="1"/>
    <xf numFmtId="0" fontId="10" fillId="0" borderId="23" xfId="0" applyFont="1" applyFill="1" applyBorder="1"/>
    <xf numFmtId="0" fontId="22" fillId="0" borderId="23" xfId="0" applyFont="1" applyFill="1" applyBorder="1"/>
    <xf numFmtId="0" fontId="23" fillId="0" borderId="23" xfId="0" applyFont="1" applyFill="1" applyBorder="1"/>
    <xf numFmtId="0" fontId="10" fillId="0" borderId="24" xfId="0" applyFont="1" applyFill="1" applyBorder="1"/>
    <xf numFmtId="10" fontId="10" fillId="0" borderId="3" xfId="1" applyNumberFormat="1" applyFont="1" applyBorder="1"/>
    <xf numFmtId="10" fontId="10" fillId="0" borderId="10" xfId="1" applyNumberFormat="1" applyFont="1" applyBorder="1"/>
    <xf numFmtId="0" fontId="10" fillId="5" borderId="21" xfId="0" applyFont="1" applyFill="1" applyBorder="1"/>
    <xf numFmtId="0" fontId="21" fillId="6" borderId="0" xfId="2" applyFont="1"/>
    <xf numFmtId="9" fontId="10" fillId="0" borderId="2" xfId="0" applyNumberFormat="1" applyFont="1" applyFill="1" applyBorder="1"/>
    <xf numFmtId="9" fontId="10" fillId="0" borderId="0" xfId="0" applyNumberFormat="1" applyFont="1" applyFill="1" applyBorder="1"/>
    <xf numFmtId="9" fontId="24" fillId="0" borderId="0" xfId="0" applyNumberFormat="1" applyFont="1" applyFill="1" applyBorder="1"/>
    <xf numFmtId="14" fontId="10" fillId="0" borderId="0" xfId="0" applyNumberFormat="1" applyFont="1" applyBorder="1"/>
    <xf numFmtId="0" fontId="10" fillId="0" borderId="3" xfId="0" applyFont="1" applyBorder="1"/>
    <xf numFmtId="0" fontId="0" fillId="0" borderId="31" xfId="0" applyBorder="1"/>
    <xf numFmtId="0" fontId="8" fillId="0" borderId="0" xfId="0" applyFont="1" applyFill="1"/>
    <xf numFmtId="0" fontId="8" fillId="0" borderId="0" xfId="0" quotePrefix="1" applyFont="1" applyFill="1"/>
    <xf numFmtId="9" fontId="10" fillId="0" borderId="0" xfId="0" applyNumberFormat="1" applyFont="1" applyFill="1"/>
    <xf numFmtId="14" fontId="10" fillId="0" borderId="0" xfId="0" applyNumberFormat="1" applyFont="1"/>
    <xf numFmtId="0" fontId="8" fillId="0" borderId="0" xfId="0" applyFont="1" applyFill="1" applyBorder="1"/>
    <xf numFmtId="14" fontId="0" fillId="0" borderId="0" xfId="0" applyNumberFormat="1" applyFill="1" applyAlignment="1">
      <alignment horizontal="right" wrapText="1"/>
    </xf>
    <xf numFmtId="0" fontId="11" fillId="0" borderId="0" xfId="0" applyFont="1" applyFill="1" applyBorder="1" applyAlignment="1">
      <alignment horizontal="left"/>
    </xf>
    <xf numFmtId="0" fontId="0" fillId="0" borderId="32" xfId="0" applyBorder="1"/>
    <xf numFmtId="0" fontId="0" fillId="0" borderId="35" xfId="0" applyBorder="1"/>
    <xf numFmtId="0" fontId="0" fillId="0" borderId="36" xfId="0" applyBorder="1"/>
    <xf numFmtId="0" fontId="0" fillId="0" borderId="34" xfId="0" applyBorder="1"/>
    <xf numFmtId="0" fontId="0" fillId="0" borderId="35" xfId="0" applyBorder="1" applyAlignment="1">
      <alignment wrapText="1"/>
    </xf>
    <xf numFmtId="0" fontId="0" fillId="3" borderId="37" xfId="0" applyFill="1" applyBorder="1"/>
    <xf numFmtId="0" fontId="0" fillId="3" borderId="38" xfId="0" applyFill="1" applyBorder="1"/>
    <xf numFmtId="0" fontId="0" fillId="3" borderId="12" xfId="0" applyFill="1" applyBorder="1"/>
    <xf numFmtId="0" fontId="0" fillId="3" borderId="18" xfId="0" applyFill="1" applyBorder="1"/>
    <xf numFmtId="0" fontId="0" fillId="3" borderId="39" xfId="0" applyFill="1" applyBorder="1"/>
    <xf numFmtId="0" fontId="0" fillId="3" borderId="10" xfId="0" applyFill="1" applyBorder="1"/>
    <xf numFmtId="0" fontId="2" fillId="0" borderId="40" xfId="0" applyFont="1" applyBorder="1"/>
    <xf numFmtId="0" fontId="2" fillId="0" borderId="41" xfId="0" applyFont="1" applyBorder="1"/>
    <xf numFmtId="0" fontId="2" fillId="0" borderId="42" xfId="0" applyFont="1" applyBorder="1"/>
    <xf numFmtId="0" fontId="0" fillId="3" borderId="43" xfId="0" applyFill="1" applyBorder="1"/>
    <xf numFmtId="0" fontId="10" fillId="0" borderId="32" xfId="0" applyFont="1" applyBorder="1"/>
    <xf numFmtId="0" fontId="17" fillId="0" borderId="35" xfId="0" applyFont="1" applyBorder="1"/>
    <xf numFmtId="0" fontId="17" fillId="0" borderId="33" xfId="0" applyFont="1" applyBorder="1"/>
    <xf numFmtId="0" fontId="16" fillId="2" borderId="1" xfId="0" applyFont="1" applyFill="1" applyBorder="1" applyAlignment="1"/>
    <xf numFmtId="0" fontId="26" fillId="2" borderId="1" xfId="0" applyFont="1" applyFill="1" applyBorder="1" applyAlignment="1"/>
    <xf numFmtId="0" fontId="0" fillId="0" borderId="3" xfId="0" applyBorder="1"/>
    <xf numFmtId="0" fontId="0" fillId="0" borderId="28" xfId="0" applyBorder="1"/>
    <xf numFmtId="0" fontId="0" fillId="0" borderId="30" xfId="0" applyBorder="1"/>
    <xf numFmtId="0" fontId="0" fillId="0" borderId="4" xfId="0" applyBorder="1"/>
    <xf numFmtId="0" fontId="0" fillId="0" borderId="10" xfId="0" applyBorder="1"/>
    <xf numFmtId="0" fontId="9" fillId="8" borderId="4" xfId="4" applyBorder="1"/>
    <xf numFmtId="0" fontId="9" fillId="8" borderId="10" xfId="4" applyBorder="1"/>
    <xf numFmtId="0" fontId="9" fillId="8" borderId="28" xfId="4" applyBorder="1"/>
    <xf numFmtId="0" fontId="9" fillId="8" borderId="30" xfId="4" applyBorder="1"/>
    <xf numFmtId="0" fontId="9" fillId="8" borderId="2" xfId="4" applyBorder="1"/>
    <xf numFmtId="0" fontId="33" fillId="0" borderId="0" xfId="0" applyFont="1" applyFill="1"/>
    <xf numFmtId="0" fontId="34" fillId="0" borderId="0" xfId="0" applyFont="1" applyFill="1"/>
    <xf numFmtId="0" fontId="37" fillId="0" borderId="0" xfId="0" applyFont="1" applyFill="1"/>
    <xf numFmtId="0" fontId="0" fillId="0" borderId="0" xfId="0" applyFill="1" applyAlignment="1">
      <alignment horizontal="right" wrapText="1"/>
    </xf>
    <xf numFmtId="0" fontId="17" fillId="0" borderId="35" xfId="0" applyFont="1" applyBorder="1" applyAlignment="1">
      <alignment wrapText="1"/>
    </xf>
    <xf numFmtId="0" fontId="0" fillId="4" borderId="0" xfId="0" applyFont="1" applyFill="1" applyBorder="1"/>
    <xf numFmtId="0" fontId="39" fillId="2" borderId="1" xfId="5" applyFont="1" applyFill="1" applyBorder="1" applyAlignment="1">
      <alignment horizontal="center"/>
    </xf>
    <xf numFmtId="0" fontId="0" fillId="8" borderId="3" xfId="4" applyFont="1" applyBorder="1"/>
    <xf numFmtId="0" fontId="9" fillId="11" borderId="0" xfId="6"/>
    <xf numFmtId="0" fontId="10" fillId="0" borderId="0" xfId="0" applyFont="1" applyBorder="1"/>
    <xf numFmtId="0" fontId="41" fillId="0" borderId="0" xfId="0" applyFont="1" applyAlignment="1">
      <alignment wrapText="1"/>
    </xf>
    <xf numFmtId="14" fontId="6" fillId="0" borderId="3" xfId="0" applyNumberFormat="1" applyFont="1" applyFill="1" applyBorder="1"/>
    <xf numFmtId="0" fontId="7" fillId="0" borderId="3" xfId="0" quotePrefix="1" applyFont="1" applyFill="1" applyBorder="1"/>
    <xf numFmtId="0" fontId="0" fillId="0" borderId="3" xfId="0" applyFill="1" applyBorder="1" applyAlignment="1">
      <alignment wrapText="1"/>
    </xf>
    <xf numFmtId="0" fontId="13" fillId="0" borderId="3" xfId="0" applyFont="1" applyFill="1" applyBorder="1" applyAlignment="1">
      <alignment wrapText="1"/>
    </xf>
    <xf numFmtId="0" fontId="14" fillId="0" borderId="3" xfId="0" applyFont="1" applyFill="1" applyBorder="1" applyAlignment="1">
      <alignment wrapText="1"/>
    </xf>
    <xf numFmtId="0" fontId="8" fillId="0" borderId="3" xfId="0" applyFont="1" applyFill="1" applyBorder="1" applyAlignment="1">
      <alignment wrapText="1"/>
    </xf>
    <xf numFmtId="0" fontId="18" fillId="0" borderId="3" xfId="0" applyFont="1" applyFill="1" applyBorder="1"/>
    <xf numFmtId="0" fontId="10" fillId="0" borderId="3" xfId="0" applyFont="1" applyFill="1" applyBorder="1"/>
    <xf numFmtId="0" fontId="14" fillId="0" borderId="3" xfId="0" applyFont="1" applyFill="1" applyBorder="1" applyAlignment="1">
      <alignment horizontal="left" vertical="top" wrapText="1"/>
    </xf>
    <xf numFmtId="14" fontId="0" fillId="0" borderId="22" xfId="0" applyNumberFormat="1" applyFont="1" applyFill="1" applyBorder="1"/>
    <xf numFmtId="0" fontId="0" fillId="0" borderId="21" xfId="0" applyFont="1" applyFill="1" applyBorder="1"/>
    <xf numFmtId="0" fontId="0" fillId="0" borderId="0" xfId="0" applyFill="1" applyBorder="1" applyAlignment="1">
      <alignment wrapText="1"/>
    </xf>
    <xf numFmtId="0" fontId="0" fillId="0" borderId="0" xfId="0" applyAlignment="1">
      <alignment horizontal="left"/>
    </xf>
    <xf numFmtId="0" fontId="0" fillId="0" borderId="0" xfId="0" applyNumberFormat="1"/>
    <xf numFmtId="0" fontId="31" fillId="10" borderId="2" xfId="0" applyFont="1" applyFill="1" applyBorder="1" applyAlignment="1">
      <alignment horizontal="center" vertical="center" wrapText="1"/>
    </xf>
    <xf numFmtId="0" fontId="31" fillId="10" borderId="0" xfId="0" applyFont="1" applyFill="1" applyBorder="1" applyAlignment="1">
      <alignment horizontal="center" vertical="center" wrapText="1"/>
    </xf>
    <xf numFmtId="0" fontId="31" fillId="10" borderId="3" xfId="0" applyFont="1" applyFill="1" applyBorder="1" applyAlignment="1">
      <alignment horizontal="center" vertical="center" wrapText="1"/>
    </xf>
    <xf numFmtId="0" fontId="31" fillId="9" borderId="28" xfId="0" applyFont="1" applyFill="1" applyBorder="1" applyAlignment="1">
      <alignment horizontal="center" vertical="center"/>
    </xf>
    <xf numFmtId="0" fontId="31" fillId="9" borderId="29" xfId="0" applyFont="1" applyFill="1" applyBorder="1" applyAlignment="1">
      <alignment horizontal="center" vertical="center"/>
    </xf>
    <xf numFmtId="0" fontId="31" fillId="9" borderId="30" xfId="0" applyFont="1" applyFill="1" applyBorder="1" applyAlignment="1">
      <alignment horizontal="center" vertical="center"/>
    </xf>
    <xf numFmtId="0" fontId="16" fillId="2" borderId="1" xfId="0" applyFont="1" applyFill="1" applyBorder="1" applyAlignment="1">
      <alignment horizontal="center"/>
    </xf>
    <xf numFmtId="0" fontId="0" fillId="8" borderId="47" xfId="4" applyFont="1" applyBorder="1" applyAlignment="1">
      <alignment horizontal="left"/>
    </xf>
    <xf numFmtId="0" fontId="9" fillId="8" borderId="38" xfId="4" applyBorder="1" applyAlignment="1">
      <alignment horizontal="left"/>
    </xf>
    <xf numFmtId="0" fontId="25" fillId="0" borderId="5" xfId="0" applyFont="1" applyBorder="1"/>
    <xf numFmtId="0" fontId="25" fillId="0" borderId="11" xfId="0" applyFont="1" applyBorder="1"/>
    <xf numFmtId="0" fontId="0" fillId="8" borderId="4" xfId="4" applyFont="1" applyBorder="1" applyAlignment="1">
      <alignment horizontal="left" wrapText="1"/>
    </xf>
    <xf numFmtId="0" fontId="9" fillId="8" borderId="10" xfId="4" applyBorder="1" applyAlignment="1">
      <alignment horizontal="left" wrapText="1"/>
    </xf>
    <xf numFmtId="0" fontId="15" fillId="7" borderId="19" xfId="3" applyFont="1" applyBorder="1" applyAlignment="1">
      <alignment horizontal="center"/>
    </xf>
    <xf numFmtId="0" fontId="15" fillId="7" borderId="20" xfId="3" applyFont="1" applyBorder="1" applyAlignment="1">
      <alignment horizontal="center"/>
    </xf>
    <xf numFmtId="0" fontId="0" fillId="8" borderId="47" xfId="4" applyFont="1" applyBorder="1" applyAlignment="1">
      <alignment horizontal="left" wrapText="1"/>
    </xf>
    <xf numFmtId="0" fontId="9" fillId="8" borderId="38" xfId="4" applyBorder="1" applyAlignment="1">
      <alignment horizontal="left" wrapText="1"/>
    </xf>
    <xf numFmtId="0" fontId="0" fillId="0" borderId="2" xfId="0" applyBorder="1" applyAlignment="1">
      <alignment wrapText="1"/>
    </xf>
    <xf numFmtId="0" fontId="0" fillId="0" borderId="3" xfId="0" applyBorder="1" applyAlignment="1">
      <alignment wrapText="1"/>
    </xf>
    <xf numFmtId="0" fontId="0" fillId="8" borderId="48" xfId="4" applyFont="1" applyBorder="1" applyAlignment="1">
      <alignment horizontal="left" wrapText="1"/>
    </xf>
    <xf numFmtId="0" fontId="9" fillId="8" borderId="49" xfId="4" applyBorder="1" applyAlignment="1">
      <alignment horizontal="left" wrapText="1"/>
    </xf>
    <xf numFmtId="0" fontId="0" fillId="0" borderId="47" xfId="0" applyBorder="1" applyAlignment="1">
      <alignment horizontal="left" wrapText="1"/>
    </xf>
    <xf numFmtId="0" fontId="0" fillId="0" borderId="38" xfId="0" applyBorder="1" applyAlignment="1">
      <alignment horizontal="left" wrapText="1"/>
    </xf>
    <xf numFmtId="0" fontId="0" fillId="0" borderId="47" xfId="0" applyBorder="1" applyAlignment="1">
      <alignment horizontal="left"/>
    </xf>
    <xf numFmtId="0" fontId="0" fillId="0" borderId="38" xfId="0" applyBorder="1" applyAlignment="1">
      <alignment horizontal="left"/>
    </xf>
    <xf numFmtId="0" fontId="11" fillId="0" borderId="0" xfId="0" applyFont="1" applyFill="1" applyBorder="1" applyAlignment="1">
      <alignment horizontal="left"/>
    </xf>
    <xf numFmtId="0" fontId="40" fillId="6" borderId="44" xfId="2" applyFont="1" applyBorder="1" applyAlignment="1">
      <alignment horizontal="center"/>
    </xf>
    <xf numFmtId="0" fontId="40" fillId="6" borderId="45" xfId="2" applyFont="1" applyBorder="1" applyAlignment="1">
      <alignment horizontal="center"/>
    </xf>
    <xf numFmtId="0" fontId="40" fillId="6" borderId="46" xfId="2" applyFont="1" applyBorder="1" applyAlignment="1">
      <alignment horizontal="center"/>
    </xf>
  </cellXfs>
  <cellStyles count="7">
    <cellStyle name="20% - Accent1" xfId="6" builtinId="30"/>
    <cellStyle name="20% - Accent3" xfId="4" builtinId="38"/>
    <cellStyle name="Accent1" xfId="3" builtinId="29"/>
    <cellStyle name="Accent5" xfId="2" builtinId="45"/>
    <cellStyle name="Hyperlink" xfId="5" builtinId="8"/>
    <cellStyle name="Normal" xfId="0" builtinId="0"/>
    <cellStyle name="Percent" xfId="1" builtinId="5"/>
  </cellStyles>
  <dxfs count="81">
    <dxf>
      <border outline="0">
        <bottom style="thin">
          <color indexed="64"/>
        </bottom>
      </border>
    </dxf>
    <dxf>
      <font>
        <b/>
        <i val="0"/>
        <strike val="0"/>
        <condense val="0"/>
        <extend val="0"/>
        <outline val="0"/>
        <shadow val="0"/>
        <u val="none"/>
        <vertAlign val="baseline"/>
        <sz val="11"/>
        <color theme="1"/>
        <name val="Calibri"/>
        <scheme val="minor"/>
      </font>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Calibri"/>
        <scheme val="minor"/>
      </font>
      <numFmt numFmtId="0" formatCode="General"/>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dxf>
    <dxf>
      <fill>
        <patternFill patternType="none">
          <fgColor indexed="64"/>
          <bgColor indexed="65"/>
        </patternFill>
      </fill>
    </dxf>
    <dxf>
      <numFmt numFmtId="0" formatCode="General"/>
      <fill>
        <patternFill patternType="none">
          <fgColor indexed="64"/>
          <bgColor auto="1"/>
        </patternFill>
      </fill>
    </dxf>
    <dxf>
      <fill>
        <patternFill patternType="none">
          <fgColor indexed="64"/>
          <bgColor indexed="65"/>
        </patternFill>
      </fill>
      <border diagonalUp="0" diagonalDown="0">
        <left/>
        <right style="medium">
          <color indexed="64"/>
        </right>
        <top/>
        <bottom/>
        <vertical/>
        <horizontal/>
      </border>
    </dxf>
    <dxf>
      <fill>
        <patternFill patternType="none">
          <fgColor indexed="64"/>
          <bgColor indexed="65"/>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indexed="65"/>
        </patternFill>
      </fill>
    </dxf>
    <dxf>
      <font>
        <strike val="0"/>
        <outline val="0"/>
        <shadow val="0"/>
        <u val="none"/>
        <vertAlign val="baseline"/>
        <sz val="11"/>
        <color auto="1"/>
        <name val="Calibri"/>
        <scheme val="minor"/>
      </font>
      <fill>
        <patternFill patternType="none">
          <fgColor indexed="64"/>
          <bgColor indexed="65"/>
        </patternFill>
      </fill>
    </dxf>
    <dxf>
      <font>
        <b/>
      </font>
      <border diagonalUp="0" diagonalDown="0">
        <left/>
        <right style="medium">
          <color indexed="64"/>
        </right>
        <top/>
        <bottom/>
        <vertical/>
        <horizontal/>
      </border>
    </dxf>
    <dxf>
      <font>
        <b/>
      </font>
    </dxf>
    <dxf>
      <font>
        <b/>
      </font>
      <numFmt numFmtId="13" formatCode="0%"/>
      <fill>
        <patternFill patternType="none">
          <fgColor indexed="64"/>
          <bgColor indexed="65"/>
        </patternFill>
      </fill>
    </dxf>
    <dxf>
      <font>
        <b/>
      </font>
      <numFmt numFmtId="13" formatCode="0%"/>
      <fill>
        <patternFill patternType="none">
          <fgColor indexed="64"/>
          <bgColor auto="1"/>
        </patternFill>
      </fill>
      <border diagonalUp="0" diagonalDown="0" outline="0">
        <left style="medium">
          <color indexed="64"/>
        </left>
        <right/>
        <top/>
        <bottom/>
      </border>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font>
      <fill>
        <patternFill patternType="none">
          <fgColor indexed="64"/>
          <bgColor auto="1"/>
        </patternFill>
      </fill>
      <border diagonalUp="0" diagonalDown="0" outline="0">
        <left style="medium">
          <color indexed="64"/>
        </left>
        <right style="medium">
          <color indexed="64"/>
        </right>
        <top/>
        <bottom/>
      </border>
    </dxf>
    <dxf>
      <fill>
        <patternFill patternType="none">
          <fgColor indexed="64"/>
          <bgColor auto="1"/>
        </patternFill>
      </fill>
    </dxf>
    <dxf>
      <font>
        <strike val="0"/>
        <outline val="0"/>
        <shadow val="0"/>
        <u val="none"/>
        <vertAlign val="baseline"/>
        <sz val="14"/>
        <color theme="1"/>
        <name val="Calibri"/>
        <scheme val="minor"/>
      </font>
    </dxf>
    <dxf>
      <font>
        <color rgb="FFFF0000"/>
      </font>
    </dxf>
    <dxf>
      <font>
        <b/>
        <i val="0"/>
      </font>
    </dxf>
    <dxf>
      <fill>
        <patternFill>
          <bgColor theme="6"/>
        </patternFill>
      </fill>
    </dxf>
    <dxf>
      <font>
        <color rgb="FFFF0000"/>
      </font>
    </dxf>
    <dxf>
      <font>
        <b/>
        <i val="0"/>
      </font>
    </dxf>
    <dxf>
      <fill>
        <patternFill>
          <bgColor theme="6"/>
        </patternFill>
      </fill>
    </dxf>
    <dxf>
      <font>
        <b/>
        <i val="0"/>
      </font>
      <fill>
        <patternFill>
          <bgColor theme="9" tint="0.59996337778862885"/>
        </patternFill>
      </fill>
    </dxf>
    <dxf>
      <font>
        <b/>
        <i val="0"/>
        <color theme="0"/>
      </font>
      <fill>
        <patternFill>
          <bgColor theme="4"/>
        </patternFill>
      </fill>
    </dxf>
    <dxf>
      <font>
        <b/>
        <i val="0"/>
      </font>
      <fill>
        <patternFill>
          <bgColor theme="9" tint="0.59996337778862885"/>
        </patternFill>
      </fill>
      <border>
        <bottom/>
        <vertical/>
        <horizontal/>
      </border>
    </dxf>
    <dxf>
      <font>
        <b/>
        <i val="0"/>
        <color theme="0"/>
      </font>
      <fill>
        <patternFill>
          <bgColor theme="4"/>
        </patternFill>
      </fill>
    </dxf>
    <dxf>
      <font>
        <b/>
        <i val="0"/>
      </font>
      <fill>
        <patternFill>
          <bgColor theme="9" tint="0.59996337778862885"/>
        </patternFill>
      </fill>
    </dxf>
    <dxf>
      <font>
        <b/>
        <i val="0"/>
        <color theme="0"/>
      </font>
      <fill>
        <patternFill>
          <bgColor theme="4"/>
        </patternFill>
      </fill>
    </dxf>
    <dxf>
      <font>
        <b/>
        <i val="0"/>
      </font>
      <fill>
        <patternFill>
          <bgColor theme="9" tint="0.59996337778862885"/>
        </patternFill>
      </fill>
    </dxf>
    <dxf>
      <font>
        <b/>
        <i val="0"/>
        <color theme="0"/>
      </font>
      <fill>
        <patternFill>
          <bgColor theme="4"/>
        </patternFill>
      </fill>
    </dxf>
    <dxf>
      <font>
        <b/>
        <i val="0"/>
      </font>
      <fill>
        <patternFill>
          <bgColor theme="9" tint="0.59996337778862885"/>
        </patternFill>
      </fill>
    </dxf>
    <dxf>
      <font>
        <b/>
        <i val="0"/>
        <color theme="0"/>
      </font>
      <fill>
        <patternFill>
          <bgColor theme="4"/>
        </patternFill>
      </fill>
    </dxf>
    <dxf>
      <font>
        <b/>
        <i val="0"/>
      </font>
      <fill>
        <patternFill>
          <bgColor theme="9" tint="0.59996337778862885"/>
        </patternFill>
      </fill>
    </dxf>
    <dxf>
      <font>
        <b/>
        <i val="0"/>
        <color theme="0"/>
      </font>
      <fill>
        <patternFill>
          <bgColor theme="4"/>
        </patternFill>
      </fill>
    </dxf>
    <dxf>
      <font>
        <b/>
        <i val="0"/>
        <color theme="7" tint="0.39991454817346722"/>
      </font>
    </dxf>
    <dxf>
      <font>
        <b val="0"/>
        <i/>
        <color theme="0"/>
      </font>
    </dxf>
    <dxf>
      <font>
        <color rgb="FFFF0000"/>
      </font>
    </dxf>
    <dxf>
      <font>
        <color theme="6" tint="0.79998168889431442"/>
      </font>
    </dxf>
    <dxf>
      <font>
        <color theme="2"/>
      </font>
    </dxf>
    <dxf>
      <font>
        <b/>
        <i val="0"/>
        <color rgb="FFFF0000"/>
      </font>
    </dxf>
    <dxf>
      <font>
        <color rgb="FFFF0000"/>
      </font>
    </dxf>
    <dxf>
      <font>
        <b/>
        <i val="0"/>
        <color theme="8" tint="-0.24994659260841701"/>
      </font>
    </dxf>
    <dxf>
      <font>
        <b/>
        <i val="0"/>
        <color theme="9" tint="-0.24994659260841701"/>
      </font>
    </dxf>
    <dxf>
      <font>
        <b/>
        <i val="0"/>
        <color rgb="FF7030A0"/>
      </font>
    </dxf>
    <dxf>
      <fill>
        <patternFill>
          <bgColor theme="9" tint="0.39994506668294322"/>
        </patternFill>
      </fill>
    </dxf>
    <dxf>
      <font>
        <color theme="0"/>
      </font>
      <fill>
        <patternFill>
          <bgColor theme="8"/>
        </patternFill>
      </fill>
    </dxf>
    <dxf>
      <fill>
        <patternFill>
          <bgColor theme="9" tint="0.39994506668294322"/>
        </patternFill>
      </fill>
    </dxf>
    <dxf>
      <font>
        <color theme="0"/>
      </font>
      <fill>
        <patternFill>
          <bgColor theme="8"/>
        </patternFill>
      </fill>
    </dxf>
    <dxf>
      <fill>
        <patternFill>
          <bgColor theme="9" tint="0.39994506668294322"/>
        </patternFill>
      </fill>
    </dxf>
    <dxf>
      <font>
        <color theme="0"/>
      </font>
      <fill>
        <patternFill>
          <bgColor theme="8"/>
        </patternFill>
      </fill>
    </dxf>
    <dxf>
      <fill>
        <patternFill>
          <bgColor theme="9" tint="0.39994506668294322"/>
        </patternFill>
      </fill>
    </dxf>
    <dxf>
      <fill>
        <patternFill>
          <bgColor theme="9" tint="0.39994506668294322"/>
        </patternFill>
      </fill>
    </dxf>
    <dxf>
      <font>
        <color theme="0"/>
      </font>
      <fill>
        <patternFill>
          <bgColor theme="8"/>
        </patternFill>
      </fill>
    </dxf>
    <dxf>
      <fill>
        <patternFill>
          <bgColor theme="9" tint="0.39994506668294322"/>
        </patternFill>
      </fill>
    </dxf>
    <dxf>
      <font>
        <color theme="0"/>
      </font>
      <fill>
        <patternFill>
          <bgColor theme="8"/>
        </patternFill>
      </fill>
    </dxf>
    <dxf>
      <font>
        <color theme="0"/>
      </font>
      <fill>
        <patternFill>
          <bgColor theme="8"/>
        </patternFill>
      </fill>
    </dxf>
    <dxf>
      <font>
        <color rgb="FFFF0000"/>
      </font>
    </dxf>
    <dxf>
      <font>
        <color rgb="FFFF0000"/>
      </font>
    </dxf>
    <dxf>
      <font>
        <b/>
        <i val="0"/>
        <color rgb="FF00B050"/>
      </font>
    </dxf>
    <dxf>
      <font>
        <b/>
        <i val="0"/>
        <color rgb="FFFF0000"/>
      </font>
    </dxf>
    <dxf>
      <font>
        <b/>
        <i val="0"/>
        <color theme="5"/>
      </font>
    </dxf>
    <dxf>
      <font>
        <b/>
        <i val="0"/>
        <color theme="8"/>
      </font>
    </dxf>
    <dxf>
      <font>
        <color rgb="FFFF0000"/>
      </font>
    </dxf>
    <dxf>
      <fill>
        <patternFill>
          <bgColor theme="4" tint="0.79995117038483843"/>
        </patternFill>
      </fill>
    </dxf>
    <dxf>
      <fill>
        <patternFill patternType="solid">
          <fgColor theme="4" tint="0.79995117038483843"/>
          <bgColor theme="4" tint="0.79995117038483843"/>
        </patternFill>
      </fill>
      <border>
        <top/>
      </border>
    </dxf>
    <dxf>
      <fill>
        <patternFill patternType="solid">
          <fgColor theme="4" tint="0.79995117038483843"/>
          <bgColor theme="4" tint="0.79995117038483843"/>
        </patternFill>
      </fill>
      <border>
        <bottom/>
      </border>
    </dxf>
  </dxfs>
  <tableStyles count="1" defaultTableStyle="TableStyleMedium2" defaultPivotStyle="PivotStyleLight16">
    <tableStyle name="Flattened Pivot Style" table="0" count="3">
      <tableStyleElement type="headerRow" dxfId="80"/>
      <tableStyleElement type="totalRow" dxfId="79"/>
      <tableStyleElement type="secondRowStripe" dxfId="78"/>
    </tableStyle>
  </tableStyles>
  <colors>
    <mruColors>
      <color rgb="FFFAC8D2"/>
      <color rgb="FFFEB2B0"/>
      <color rgb="FFFCC1C0"/>
      <color rgb="FFFFCC66"/>
      <color rgb="FFFFA4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3.xml"/><Relationship Id="rId18" Type="http://schemas.openxmlformats.org/officeDocument/2006/relationships/connections" Target="connections.xml"/><Relationship Id="rId26" Type="http://schemas.openxmlformats.org/officeDocument/2006/relationships/customXml" Target="../customXml/item4.xml"/><Relationship Id="rId39" Type="http://schemas.openxmlformats.org/officeDocument/2006/relationships/customXml" Target="../customXml/item17.xml"/><Relationship Id="rId21" Type="http://schemas.openxmlformats.org/officeDocument/2006/relationships/powerPivotData" Target="model/item.data"/><Relationship Id="rId34" Type="http://schemas.openxmlformats.org/officeDocument/2006/relationships/customXml" Target="../customXml/item12.xml"/><Relationship Id="rId42" Type="http://schemas.openxmlformats.org/officeDocument/2006/relationships/customXml" Target="../customXml/item20.xml"/><Relationship Id="rId47" Type="http://schemas.openxmlformats.org/officeDocument/2006/relationships/customXml" Target="../customXml/item25.xml"/><Relationship Id="rId50" Type="http://schemas.openxmlformats.org/officeDocument/2006/relationships/customXml" Target="../customXml/item28.xml"/><Relationship Id="rId55" Type="http://schemas.openxmlformats.org/officeDocument/2006/relationships/customXml" Target="../customXml/item33.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microsoft.com/office/2011/relationships/timelineCache" Target="timelineCaches/timelineCache1.xml"/><Relationship Id="rId20" Type="http://schemas.openxmlformats.org/officeDocument/2006/relationships/sharedStrings" Target="sharedStrings.xml"/><Relationship Id="rId29" Type="http://schemas.openxmlformats.org/officeDocument/2006/relationships/customXml" Target="../customXml/item7.xml"/><Relationship Id="rId41" Type="http://schemas.openxmlformats.org/officeDocument/2006/relationships/customXml" Target="../customXml/item19.xml"/><Relationship Id="rId54" Type="http://schemas.openxmlformats.org/officeDocument/2006/relationships/customXml" Target="../customXml/item3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4.xml"/><Relationship Id="rId24" Type="http://schemas.openxmlformats.org/officeDocument/2006/relationships/customXml" Target="../customXml/item2.xml"/><Relationship Id="rId32" Type="http://schemas.openxmlformats.org/officeDocument/2006/relationships/customXml" Target="../customXml/item10.xml"/><Relationship Id="rId37" Type="http://schemas.openxmlformats.org/officeDocument/2006/relationships/customXml" Target="../customXml/item15.xml"/><Relationship Id="rId40" Type="http://schemas.openxmlformats.org/officeDocument/2006/relationships/customXml" Target="../customXml/item18.xml"/><Relationship Id="rId45" Type="http://schemas.openxmlformats.org/officeDocument/2006/relationships/customXml" Target="../customXml/item23.xml"/><Relationship Id="rId53" Type="http://schemas.openxmlformats.org/officeDocument/2006/relationships/customXml" Target="../customXml/item31.xml"/><Relationship Id="rId58" Type="http://schemas.openxmlformats.org/officeDocument/2006/relationships/customXml" Target="../customXml/item36.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openxmlformats.org/officeDocument/2006/relationships/customXml" Target="../customXml/item1.xml"/><Relationship Id="rId28" Type="http://schemas.openxmlformats.org/officeDocument/2006/relationships/customXml" Target="../customXml/item6.xml"/><Relationship Id="rId36" Type="http://schemas.openxmlformats.org/officeDocument/2006/relationships/customXml" Target="../customXml/item14.xml"/><Relationship Id="rId49" Type="http://schemas.openxmlformats.org/officeDocument/2006/relationships/customXml" Target="../customXml/item27.xml"/><Relationship Id="rId57" Type="http://schemas.openxmlformats.org/officeDocument/2006/relationships/customXml" Target="../customXml/item35.xml"/><Relationship Id="rId61" Type="http://schemas.microsoft.com/office/2006/relationships/vbaProject" Target="vbaProject.bin"/><Relationship Id="rId10" Type="http://schemas.microsoft.com/office/2007/relationships/slicerCache" Target="slicerCaches/slicerCache3.xml"/><Relationship Id="rId19" Type="http://schemas.openxmlformats.org/officeDocument/2006/relationships/styles" Target="styles.xml"/><Relationship Id="rId31" Type="http://schemas.openxmlformats.org/officeDocument/2006/relationships/customXml" Target="../customXml/item9.xml"/><Relationship Id="rId44" Type="http://schemas.openxmlformats.org/officeDocument/2006/relationships/customXml" Target="../customXml/item22.xml"/><Relationship Id="rId52" Type="http://schemas.openxmlformats.org/officeDocument/2006/relationships/customXml" Target="../customXml/item30.xml"/><Relationship Id="rId60" Type="http://schemas.openxmlformats.org/officeDocument/2006/relationships/customXml" Target="../customXml/item38.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pivotTable" Target="pivotTables/pivotTable1.xml"/><Relationship Id="rId22" Type="http://schemas.openxmlformats.org/officeDocument/2006/relationships/calcChain" Target="calcChain.xml"/><Relationship Id="rId27" Type="http://schemas.openxmlformats.org/officeDocument/2006/relationships/customXml" Target="../customXml/item5.xml"/><Relationship Id="rId30" Type="http://schemas.openxmlformats.org/officeDocument/2006/relationships/customXml" Target="../customXml/item8.xml"/><Relationship Id="rId35" Type="http://schemas.openxmlformats.org/officeDocument/2006/relationships/customXml" Target="../customXml/item13.xml"/><Relationship Id="rId43" Type="http://schemas.openxmlformats.org/officeDocument/2006/relationships/customXml" Target="../customXml/item21.xml"/><Relationship Id="rId48" Type="http://schemas.openxmlformats.org/officeDocument/2006/relationships/customXml" Target="../customXml/item26.xml"/><Relationship Id="rId56" Type="http://schemas.openxmlformats.org/officeDocument/2006/relationships/customXml" Target="../customXml/item34.xml"/><Relationship Id="rId8" Type="http://schemas.microsoft.com/office/2007/relationships/slicerCache" Target="slicerCaches/slicerCache1.xml"/><Relationship Id="rId51" Type="http://schemas.openxmlformats.org/officeDocument/2006/relationships/customXml" Target="../customXml/item29.xml"/><Relationship Id="rId3" Type="http://schemas.openxmlformats.org/officeDocument/2006/relationships/worksheet" Target="worksheets/sheet3.xml"/><Relationship Id="rId12" Type="http://schemas.microsoft.com/office/2007/relationships/slicerCache" Target="slicerCaches/slicerCache5.xml"/><Relationship Id="rId17" Type="http://schemas.openxmlformats.org/officeDocument/2006/relationships/theme" Target="theme/theme1.xml"/><Relationship Id="rId25" Type="http://schemas.openxmlformats.org/officeDocument/2006/relationships/customXml" Target="../customXml/item3.xml"/><Relationship Id="rId33" Type="http://schemas.openxmlformats.org/officeDocument/2006/relationships/customXml" Target="../customXml/item11.xml"/><Relationship Id="rId38" Type="http://schemas.openxmlformats.org/officeDocument/2006/relationships/customXml" Target="../customXml/item16.xml"/><Relationship Id="rId46" Type="http://schemas.openxmlformats.org/officeDocument/2006/relationships/customXml" Target="../customXml/item24.xml"/><Relationship Id="rId59" Type="http://schemas.openxmlformats.org/officeDocument/2006/relationships/customXml" Target="../customXml/item3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GB" sz="2000"/>
              <a:t>Plan and delivery</a:t>
            </a:r>
          </a:p>
        </c:rich>
      </c:tx>
      <c:layout>
        <c:manualLayout>
          <c:xMode val="edge"/>
          <c:yMode val="edge"/>
          <c:x val="0.36883040935672512"/>
          <c:y val="2.9139209065254686E-2"/>
        </c:manualLayout>
      </c:layout>
      <c:overlay val="1"/>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a:noFill/>
          </a:ln>
          <a:effectLst/>
        </c:spPr>
        <c:marker>
          <c:symbol val="none"/>
        </c:marker>
      </c:pivotFmt>
      <c:pivotFmt>
        <c:idx val="124"/>
        <c:spPr>
          <a:solidFill>
            <a:schemeClr val="accent1"/>
          </a:solidFill>
          <a:ln>
            <a:noFill/>
          </a:ln>
          <a:effectLst/>
        </c:spPr>
        <c:marker>
          <c:symbol val="none"/>
        </c:marker>
      </c:pivotFmt>
      <c:pivotFmt>
        <c:idx val="125"/>
        <c:spPr>
          <a:solidFill>
            <a:schemeClr val="accent1"/>
          </a:solidFill>
          <a:ln>
            <a:noFill/>
          </a:ln>
          <a:effectLst/>
        </c:spPr>
        <c:marker>
          <c:symbol val="none"/>
        </c:marker>
      </c:pivotFmt>
      <c:pivotFmt>
        <c:idx val="126"/>
        <c:spPr>
          <a:solidFill>
            <a:schemeClr val="accent1"/>
          </a:solidFill>
          <a:ln>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a:noFill/>
          </a:ln>
          <a:effectLst/>
        </c:spPr>
        <c:marker>
          <c:symbol val="none"/>
        </c:marker>
      </c:pivotFmt>
      <c:pivotFmt>
        <c:idx val="144"/>
        <c:spPr>
          <a:solidFill>
            <a:schemeClr val="accent1"/>
          </a:solidFill>
          <a:ln>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a:noFill/>
          </a:ln>
          <a:effectLst/>
        </c:spPr>
        <c:marker>
          <c:symbol val="none"/>
        </c:marker>
      </c:pivotFmt>
      <c:pivotFmt>
        <c:idx val="147"/>
        <c:spPr>
          <a:solidFill>
            <a:schemeClr val="accent1"/>
          </a:solidFill>
          <a:ln>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a:noFill/>
          </a:ln>
          <a:effectLst/>
        </c:spPr>
        <c:marker>
          <c:symbol val="none"/>
        </c:marker>
      </c:pivotFmt>
      <c:pivotFmt>
        <c:idx val="150"/>
        <c:spPr>
          <a:solidFill>
            <a:schemeClr val="accent1"/>
          </a:solidFill>
          <a:ln>
            <a:noFill/>
          </a:ln>
          <a:effectLst/>
        </c:spPr>
        <c:marker>
          <c:symbol val="none"/>
        </c:marker>
      </c:pivotFmt>
      <c:pivotFmt>
        <c:idx val="151"/>
        <c:spPr>
          <a:solidFill>
            <a:schemeClr val="accent1"/>
          </a:solidFill>
          <a:ln>
            <a:noFill/>
          </a:ln>
          <a:effectLst/>
        </c:spPr>
        <c:marker>
          <c:symbol val="none"/>
        </c:marker>
      </c:pivotFmt>
      <c:pivotFmt>
        <c:idx val="152"/>
        <c:spPr>
          <a:solidFill>
            <a:schemeClr val="accent1"/>
          </a:solidFill>
          <a:ln>
            <a:noFill/>
          </a:ln>
          <a:effectLst/>
        </c:spPr>
        <c:marker>
          <c:symbol val="none"/>
        </c:marker>
      </c:pivotFmt>
      <c:pivotFmt>
        <c:idx val="153"/>
        <c:spPr>
          <a:solidFill>
            <a:schemeClr val="accent1"/>
          </a:solidFill>
          <a:ln>
            <a:noFill/>
          </a:ln>
          <a:effectLst/>
        </c:spPr>
        <c:marker>
          <c:symbol val="none"/>
        </c:marker>
      </c:pivotFmt>
      <c:pivotFmt>
        <c:idx val="154"/>
        <c:spPr>
          <a:solidFill>
            <a:schemeClr val="accent1"/>
          </a:solidFill>
          <a:ln>
            <a:noFill/>
          </a:ln>
          <a:effectLst/>
        </c:spPr>
        <c:marker>
          <c:symbol val="none"/>
        </c:marker>
      </c:pivotFmt>
      <c:pivotFmt>
        <c:idx val="155"/>
        <c:spPr>
          <a:solidFill>
            <a:schemeClr val="accent1"/>
          </a:solidFill>
          <a:ln>
            <a:noFill/>
          </a:ln>
          <a:effectLst/>
        </c:spPr>
        <c:marker>
          <c:symbol val="none"/>
        </c:marker>
      </c:pivotFmt>
      <c:pivotFmt>
        <c:idx val="156"/>
        <c:spPr>
          <a:solidFill>
            <a:schemeClr val="accent1"/>
          </a:solidFill>
          <a:ln>
            <a:noFill/>
          </a:ln>
          <a:effectLst/>
        </c:spPr>
        <c:marker>
          <c:symbol val="none"/>
        </c:marker>
      </c:pivotFmt>
      <c:pivotFmt>
        <c:idx val="157"/>
        <c:spPr>
          <a:solidFill>
            <a:schemeClr val="accent1"/>
          </a:solidFill>
          <a:ln>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
        <c:idx val="161"/>
        <c:spPr>
          <a:solidFill>
            <a:schemeClr val="accent1"/>
          </a:solidFill>
          <a:ln>
            <a:noFill/>
          </a:ln>
          <a:effectLst/>
        </c:spPr>
        <c:marker>
          <c:symbol val="none"/>
        </c:marker>
      </c:pivotFmt>
      <c:pivotFmt>
        <c:idx val="162"/>
        <c:spPr>
          <a:solidFill>
            <a:schemeClr val="accent1"/>
          </a:solidFill>
          <a:ln>
            <a:noFill/>
          </a:ln>
          <a:effectLst/>
        </c:spPr>
        <c:marker>
          <c:symbol val="none"/>
        </c:marker>
      </c:pivotFmt>
      <c:pivotFmt>
        <c:idx val="163"/>
        <c:spPr>
          <a:solidFill>
            <a:schemeClr val="accent1"/>
          </a:solidFill>
          <a:ln>
            <a:noFill/>
          </a:ln>
          <a:effectLst/>
        </c:spPr>
        <c:marker>
          <c:symbol val="none"/>
        </c:marker>
      </c:pivotFmt>
      <c:pivotFmt>
        <c:idx val="164"/>
        <c:spPr>
          <a:solidFill>
            <a:schemeClr val="accent1"/>
          </a:solidFill>
          <a:ln>
            <a:noFill/>
          </a:ln>
          <a:effectLst/>
        </c:spPr>
        <c:marker>
          <c:symbol val="none"/>
        </c:marker>
      </c:pivotFmt>
      <c:pivotFmt>
        <c:idx val="165"/>
        <c:spPr>
          <a:solidFill>
            <a:schemeClr val="accent1"/>
          </a:solidFill>
          <a:ln>
            <a:noFill/>
          </a:ln>
          <a:effectLst/>
        </c:spPr>
        <c:marker>
          <c:symbol val="none"/>
        </c:marker>
      </c:pivotFmt>
      <c:pivotFmt>
        <c:idx val="166"/>
        <c:spPr>
          <a:solidFill>
            <a:schemeClr val="accent1"/>
          </a:solidFill>
          <a:ln>
            <a:noFill/>
          </a:ln>
          <a:effectLst/>
        </c:spPr>
        <c:marker>
          <c:symbol val="none"/>
        </c:marker>
      </c:pivotFmt>
      <c:pivotFmt>
        <c:idx val="167"/>
        <c:spPr>
          <a:solidFill>
            <a:schemeClr val="accent1"/>
          </a:solidFill>
          <a:ln>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a:noFill/>
          </a:ln>
          <a:effectLst/>
        </c:spPr>
        <c:marker>
          <c:symbol val="none"/>
        </c:marker>
      </c:pivotFmt>
      <c:pivotFmt>
        <c:idx val="171"/>
        <c:spPr>
          <a:solidFill>
            <a:schemeClr val="accent1"/>
          </a:solidFill>
          <a:ln>
            <a:noFill/>
          </a:ln>
          <a:effectLst/>
        </c:spPr>
        <c:marker>
          <c:symbol val="none"/>
        </c:marker>
      </c:pivotFmt>
      <c:pivotFmt>
        <c:idx val="172"/>
        <c:spPr>
          <a:solidFill>
            <a:schemeClr val="accent1"/>
          </a:solidFill>
          <a:ln>
            <a:noFill/>
          </a:ln>
          <a:effectLst/>
        </c:spPr>
        <c:marker>
          <c:symbol val="none"/>
        </c:marker>
      </c:pivotFmt>
      <c:pivotFmt>
        <c:idx val="173"/>
        <c:spPr>
          <a:solidFill>
            <a:schemeClr val="accent1"/>
          </a:solidFill>
          <a:ln>
            <a:noFill/>
          </a:ln>
          <a:effectLst/>
        </c:spPr>
        <c:marker>
          <c:symbol val="none"/>
        </c:marker>
      </c:pivotFmt>
      <c:pivotFmt>
        <c:idx val="174"/>
        <c:spPr>
          <a:solidFill>
            <a:schemeClr val="accent1"/>
          </a:solidFill>
          <a:ln>
            <a:noFill/>
          </a:ln>
          <a:effectLst/>
        </c:spPr>
        <c:marker>
          <c:symbol val="none"/>
        </c:marker>
      </c:pivotFmt>
      <c:pivotFmt>
        <c:idx val="175"/>
        <c:spPr>
          <a:solidFill>
            <a:schemeClr val="accent1"/>
          </a:solidFill>
          <a:ln>
            <a:noFill/>
          </a:ln>
          <a:effectLst/>
        </c:spPr>
        <c:marker>
          <c:symbol val="none"/>
        </c:marker>
      </c:pivotFmt>
      <c:pivotFmt>
        <c:idx val="176"/>
        <c:spPr>
          <a:solidFill>
            <a:schemeClr val="accent1"/>
          </a:solidFill>
          <a:ln>
            <a:noFill/>
          </a:ln>
          <a:effectLst/>
        </c:spPr>
        <c:marker>
          <c:symbol val="none"/>
        </c:marker>
      </c:pivotFmt>
      <c:pivotFmt>
        <c:idx val="177"/>
        <c:spPr>
          <a:solidFill>
            <a:schemeClr val="accent1"/>
          </a:solidFill>
          <a:ln>
            <a:noFill/>
          </a:ln>
          <a:effectLst/>
        </c:spPr>
        <c:marker>
          <c:symbol val="none"/>
        </c:marker>
      </c:pivotFmt>
      <c:pivotFmt>
        <c:idx val="178"/>
        <c:spPr>
          <a:solidFill>
            <a:schemeClr val="accent1"/>
          </a:solidFill>
          <a:ln>
            <a:noFill/>
          </a:ln>
          <a:effectLst/>
        </c:spPr>
        <c:marker>
          <c:symbol val="none"/>
        </c:marker>
      </c:pivotFmt>
    </c:pivotFmts>
    <c:plotArea>
      <c:layout/>
      <c:barChart>
        <c:barDir val="col"/>
        <c:grouping val="clustered"/>
        <c:varyColors val="0"/>
        <c:ser>
          <c:idx val="0"/>
          <c:order val="0"/>
          <c:tx>
            <c:v>Plan</c:v>
          </c:tx>
          <c:spPr>
            <a:solidFill>
              <a:schemeClr val="accent1"/>
            </a:solidFill>
            <a:ln>
              <a:noFill/>
            </a:ln>
            <a:effectLst/>
          </c:spPr>
          <c:invertIfNegative val="0"/>
          <c:cat>
            <c:strLit>
              <c:ptCount val="18"/>
              <c:pt idx="0">
                <c:v>Jul
Qtr3
2017</c:v>
              </c:pt>
              <c:pt idx="1">
                <c:v>Aug
Qtr3
2017</c:v>
              </c:pt>
              <c:pt idx="2">
                <c:v>Sep
Qtr3
2017</c:v>
              </c:pt>
              <c:pt idx="3">
                <c:v>Oct
Qtr4
2017</c:v>
              </c:pt>
              <c:pt idx="4">
                <c:v>Nov
Qtr4
2017</c:v>
              </c:pt>
              <c:pt idx="5">
                <c:v>Dec
Qtr4
2017</c:v>
              </c:pt>
              <c:pt idx="6">
                <c:v>Jan
Qtr1
2018</c:v>
              </c:pt>
              <c:pt idx="7">
                <c:v>Feb
Qtr1
2018</c:v>
              </c:pt>
              <c:pt idx="8">
                <c:v>Mar
Qtr1
2018</c:v>
              </c:pt>
              <c:pt idx="9">
                <c:v>Jun
Qtr2
2018</c:v>
              </c:pt>
              <c:pt idx="10">
                <c:v>Jul
Qtr3
2018</c:v>
              </c:pt>
              <c:pt idx="11">
                <c:v>Aug
Qtr3
2018</c:v>
              </c:pt>
              <c:pt idx="12">
                <c:v>Sep
Qtr3
2018</c:v>
              </c:pt>
              <c:pt idx="13">
                <c:v>Oct
Qtr4
2018</c:v>
              </c:pt>
              <c:pt idx="14">
                <c:v>Nov
Qtr4
2018</c:v>
              </c:pt>
              <c:pt idx="15">
                <c:v>Dec
Qtr4
2018</c:v>
              </c:pt>
              <c:pt idx="16">
                <c:v>Jan
Qtr1
2019</c:v>
              </c:pt>
              <c:pt idx="17">
                <c:v>Feb
Qtr1
2019</c:v>
              </c:pt>
            </c:strLit>
          </c:cat>
          <c:val>
            <c:numLit>
              <c:formatCode>General</c:formatCode>
              <c:ptCount val="18"/>
              <c:pt idx="0">
                <c:v>56</c:v>
              </c:pt>
              <c:pt idx="1">
                <c:v>64</c:v>
              </c:pt>
              <c:pt idx="2">
                <c:v>66</c:v>
              </c:pt>
              <c:pt idx="3">
                <c:v>64</c:v>
              </c:pt>
              <c:pt idx="4">
                <c:v>72</c:v>
              </c:pt>
              <c:pt idx="5">
                <c:v>40</c:v>
              </c:pt>
              <c:pt idx="6">
                <c:v>80</c:v>
              </c:pt>
              <c:pt idx="7">
                <c:v>48</c:v>
              </c:pt>
              <c:pt idx="8">
                <c:v>16</c:v>
              </c:pt>
              <c:pt idx="9">
                <c:v>16</c:v>
              </c:pt>
              <c:pt idx="10">
                <c:v>16</c:v>
              </c:pt>
              <c:pt idx="11">
                <c:v>40</c:v>
              </c:pt>
              <c:pt idx="12">
                <c:v>40</c:v>
              </c:pt>
              <c:pt idx="13">
                <c:v>80</c:v>
              </c:pt>
              <c:pt idx="14">
                <c:v>40</c:v>
              </c:pt>
              <c:pt idx="15">
                <c:v>40</c:v>
              </c:pt>
              <c:pt idx="16">
                <c:v>48</c:v>
              </c:pt>
              <c:pt idx="17">
                <c:v>24</c:v>
              </c:pt>
            </c:numLit>
          </c:val>
          <c:extLst>
            <c:ext xmlns:c16="http://schemas.microsoft.com/office/drawing/2014/chart" uri="{C3380CC4-5D6E-409C-BE32-E72D297353CC}">
              <c16:uniqueId val="{00000005-904D-4469-AAF7-7898EAD1B28E}"/>
            </c:ext>
          </c:extLst>
        </c:ser>
        <c:ser>
          <c:idx val="1"/>
          <c:order val="1"/>
          <c:tx>
            <c:v>Assembled batch</c:v>
          </c:tx>
          <c:spPr>
            <a:solidFill>
              <a:schemeClr val="accent2"/>
            </a:solidFill>
            <a:ln>
              <a:noFill/>
            </a:ln>
            <a:effectLst/>
          </c:spPr>
          <c:invertIfNegative val="0"/>
          <c:cat>
            <c:strLit>
              <c:ptCount val="18"/>
              <c:pt idx="0">
                <c:v>Jul
Qtr3
2017</c:v>
              </c:pt>
              <c:pt idx="1">
                <c:v>Aug
Qtr3
2017</c:v>
              </c:pt>
              <c:pt idx="2">
                <c:v>Sep
Qtr3
2017</c:v>
              </c:pt>
              <c:pt idx="3">
                <c:v>Oct
Qtr4
2017</c:v>
              </c:pt>
              <c:pt idx="4">
                <c:v>Nov
Qtr4
2017</c:v>
              </c:pt>
              <c:pt idx="5">
                <c:v>Dec
Qtr4
2017</c:v>
              </c:pt>
              <c:pt idx="6">
                <c:v>Jan
Qtr1
2018</c:v>
              </c:pt>
              <c:pt idx="7">
                <c:v>Feb
Qtr1
2018</c:v>
              </c:pt>
              <c:pt idx="8">
                <c:v>Mar
Qtr1
2018</c:v>
              </c:pt>
              <c:pt idx="9">
                <c:v>Jun
Qtr2
2018</c:v>
              </c:pt>
              <c:pt idx="10">
                <c:v>Jul
Qtr3
2018</c:v>
              </c:pt>
              <c:pt idx="11">
                <c:v>Aug
Qtr3
2018</c:v>
              </c:pt>
              <c:pt idx="12">
                <c:v>Sep
Qtr3
2018</c:v>
              </c:pt>
              <c:pt idx="13">
                <c:v>Oct
Qtr4
2018</c:v>
              </c:pt>
              <c:pt idx="14">
                <c:v>Nov
Qtr4
2018</c:v>
              </c:pt>
              <c:pt idx="15">
                <c:v>Dec
Qtr4
2018</c:v>
              </c:pt>
              <c:pt idx="16">
                <c:v>Jan
Qtr1
2019</c:v>
              </c:pt>
              <c:pt idx="17">
                <c:v>Feb
Qtr1
2019</c:v>
              </c:pt>
            </c:strLit>
          </c:cat>
          <c:val>
            <c:numLit>
              <c:formatCode>General</c:formatCode>
              <c:ptCount val="18"/>
              <c:pt idx="0">
                <c:v>54</c:v>
              </c:pt>
              <c:pt idx="1">
                <c:v>47</c:v>
              </c:pt>
              <c:pt idx="2">
                <c:v>66</c:v>
              </c:pt>
              <c:pt idx="3">
                <c:v>64</c:v>
              </c:pt>
              <c:pt idx="4">
                <c:v>71</c:v>
              </c:pt>
              <c:pt idx="5">
                <c:v>39</c:v>
              </c:pt>
              <c:pt idx="6">
                <c:v>80</c:v>
              </c:pt>
              <c:pt idx="7">
                <c:v>41</c:v>
              </c:pt>
              <c:pt idx="8">
                <c:v>15</c:v>
              </c:pt>
              <c:pt idx="9">
                <c:v>16</c:v>
              </c:pt>
              <c:pt idx="10">
                <c:v>15</c:v>
              </c:pt>
              <c:pt idx="11">
                <c:v>40</c:v>
              </c:pt>
              <c:pt idx="12">
                <c:v>39</c:v>
              </c:pt>
              <c:pt idx="13">
                <c:v>80</c:v>
              </c:pt>
              <c:pt idx="14">
                <c:v>39</c:v>
              </c:pt>
              <c:pt idx="15">
                <c:v>40</c:v>
              </c:pt>
              <c:pt idx="16">
                <c:v>40</c:v>
              </c:pt>
            </c:numLit>
          </c:val>
          <c:extLst>
            <c:ext xmlns:c16="http://schemas.microsoft.com/office/drawing/2014/chart" uri="{C3380CC4-5D6E-409C-BE32-E72D297353CC}">
              <c16:uniqueId val="{00000043-904D-4469-AAF7-7898EAD1B28E}"/>
            </c:ext>
          </c:extLst>
        </c:ser>
        <c:ser>
          <c:idx val="2"/>
          <c:order val="2"/>
          <c:tx>
            <c:v>Assembled job</c:v>
          </c:tx>
          <c:spPr>
            <a:solidFill>
              <a:schemeClr val="accent3"/>
            </a:solidFill>
            <a:ln>
              <a:noFill/>
            </a:ln>
            <a:effectLst/>
          </c:spPr>
          <c:invertIfNegative val="0"/>
          <c:cat>
            <c:strLit>
              <c:ptCount val="18"/>
              <c:pt idx="0">
                <c:v>Jul
Qtr3
2017</c:v>
              </c:pt>
              <c:pt idx="1">
                <c:v>Aug
Qtr3
2017</c:v>
              </c:pt>
              <c:pt idx="2">
                <c:v>Sep
Qtr3
2017</c:v>
              </c:pt>
              <c:pt idx="3">
                <c:v>Oct
Qtr4
2017</c:v>
              </c:pt>
              <c:pt idx="4">
                <c:v>Nov
Qtr4
2017</c:v>
              </c:pt>
              <c:pt idx="5">
                <c:v>Dec
Qtr4
2017</c:v>
              </c:pt>
              <c:pt idx="6">
                <c:v>Jan
Qtr1
2018</c:v>
              </c:pt>
              <c:pt idx="7">
                <c:v>Feb
Qtr1
2018</c:v>
              </c:pt>
              <c:pt idx="8">
                <c:v>Mar
Qtr1
2018</c:v>
              </c:pt>
              <c:pt idx="9">
                <c:v>Jun
Qtr2
2018</c:v>
              </c:pt>
              <c:pt idx="10">
                <c:v>Jul
Qtr3
2018</c:v>
              </c:pt>
              <c:pt idx="11">
                <c:v>Aug
Qtr3
2018</c:v>
              </c:pt>
              <c:pt idx="12">
                <c:v>Sep
Qtr3
2018</c:v>
              </c:pt>
              <c:pt idx="13">
                <c:v>Oct
Qtr4
2018</c:v>
              </c:pt>
              <c:pt idx="14">
                <c:v>Nov
Qtr4
2018</c:v>
              </c:pt>
              <c:pt idx="15">
                <c:v>Dec
Qtr4
2018</c:v>
              </c:pt>
              <c:pt idx="16">
                <c:v>Jan
Qtr1
2019</c:v>
              </c:pt>
              <c:pt idx="17">
                <c:v>Feb
Qtr1
2019</c:v>
              </c:pt>
            </c:strLit>
          </c:cat>
          <c:val>
            <c:numLit>
              <c:formatCode>General</c:formatCode>
              <c:ptCount val="18"/>
              <c:pt idx="0">
                <c:v>54</c:v>
              </c:pt>
              <c:pt idx="1">
                <c:v>47</c:v>
              </c:pt>
              <c:pt idx="2">
                <c:v>66</c:v>
              </c:pt>
              <c:pt idx="3">
                <c:v>64</c:v>
              </c:pt>
              <c:pt idx="4">
                <c:v>71</c:v>
              </c:pt>
              <c:pt idx="5">
                <c:v>39</c:v>
              </c:pt>
              <c:pt idx="6">
                <c:v>80</c:v>
              </c:pt>
              <c:pt idx="7">
                <c:v>41</c:v>
              </c:pt>
              <c:pt idx="8">
                <c:v>15</c:v>
              </c:pt>
              <c:pt idx="9">
                <c:v>16</c:v>
              </c:pt>
              <c:pt idx="10">
                <c:v>15</c:v>
              </c:pt>
              <c:pt idx="11">
                <c:v>40</c:v>
              </c:pt>
              <c:pt idx="12">
                <c:v>39</c:v>
              </c:pt>
              <c:pt idx="13">
                <c:v>80</c:v>
              </c:pt>
              <c:pt idx="14">
                <c:v>39</c:v>
              </c:pt>
              <c:pt idx="15">
                <c:v>40</c:v>
              </c:pt>
              <c:pt idx="16">
                <c:v>40</c:v>
              </c:pt>
            </c:numLit>
          </c:val>
          <c:extLst>
            <c:ext xmlns:c16="http://schemas.microsoft.com/office/drawing/2014/chart" uri="{C3380CC4-5D6E-409C-BE32-E72D297353CC}">
              <c16:uniqueId val="{00000044-904D-4469-AAF7-7898EAD1B28E}"/>
            </c:ext>
          </c:extLst>
        </c:ser>
        <c:dLbls>
          <c:showLegendKey val="0"/>
          <c:showVal val="0"/>
          <c:showCatName val="0"/>
          <c:showSerName val="0"/>
          <c:showPercent val="0"/>
          <c:showBubbleSize val="0"/>
        </c:dLbls>
        <c:gapWidth val="219"/>
        <c:overlap val="-27"/>
        <c:axId val="2071792864"/>
        <c:axId val="1831091744"/>
      </c:barChart>
      <c:catAx>
        <c:axId val="2071792864"/>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1091744"/>
        <c:crosses val="autoZero"/>
        <c:auto val="1"/>
        <c:lblAlgn val="ctr"/>
        <c:lblOffset val="100"/>
        <c:noMultiLvlLbl val="0"/>
        <c:extLst>
          <c:ext xmlns:c15="http://schemas.microsoft.com/office/drawing/2012/chart" uri="{F40574EE-89B7-4290-83BB-5DA773EAF853}">
            <c15:numFmt c:formatCode="General" c:sourceLinked="1"/>
          </c:ext>
        </c:extLst>
      </c:catAx>
      <c:valAx>
        <c:axId val="183109174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Units</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1792864"/>
        <c:crosses val="autoZero"/>
        <c:crossBetween val="between"/>
        <c:extLst>
          <c:ext xmlns:c15="http://schemas.microsoft.com/office/drawing/2012/chart" uri="{F40574EE-89B7-4290-83BB-5DA773EAF853}">
            <c15:numFmt c:formatCode="General" c:sourceLinked="1"/>
          </c:ext>
        </c:extLst>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t"/>
      <c:layout>
        <c:manualLayout>
          <c:xMode val="edge"/>
          <c:yMode val="edge"/>
          <c:x val="0.64621160841736891"/>
          <c:y val="2.6665492787656196E-2"/>
          <c:w val="0.3389852419763319"/>
          <c:h val="4.174425435568845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5="http://schemas.microsoft.com/office/drawing/2012/chart" uri="{723BEF56-08C2-4564-9609-F4CBC75E7E54}">
      <c15:pivotSource>
        <c15:name>[D46814_White_board.xlsm]PivotChartTable2</c15:name>
        <c15:fmtId val="0"/>
      </c15:pivotSource>
      <c15:pivotOptions>
        <c15:dropZoneFilter val="1"/>
        <c15:dropZonesVisible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733425</xdr:colOff>
          <xdr:row>1</xdr:row>
          <xdr:rowOff>85725</xdr:rowOff>
        </xdr:from>
        <xdr:to>
          <xdr:col>6</xdr:col>
          <xdr:colOff>552450</xdr:colOff>
          <xdr:row>1</xdr:row>
          <xdr:rowOff>409575</xdr:rowOff>
        </xdr:to>
        <xdr:sp macro="" textlink="">
          <xdr:nvSpPr>
            <xdr:cNvPr id="2060" name="Button 12" descr="Go to first record."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1" i="0" u="none" strike="noStrike" baseline="0">
                  <a:solidFill>
                    <a:srgbClr val="000000"/>
                  </a:solidFill>
                  <a:latin typeface="Calibri"/>
                  <a:cs typeface="Calibri"/>
                </a:rPr>
                <a:t>F</a:t>
              </a:r>
              <a:r>
                <a:rPr lang="en-GB" sz="1400" b="1" i="0" u="none" strike="noStrike" baseline="0">
                  <a:solidFill>
                    <a:srgbClr val="000000"/>
                  </a:solidFill>
                  <a:latin typeface="Calibri"/>
                  <a:cs typeface="Calibri"/>
                </a:rPr>
                <a:t>irst recor</a:t>
              </a:r>
              <a:r>
                <a:rPr lang="en-GB" sz="1100" b="1" i="0" u="none" strike="noStrike" baseline="0">
                  <a:solidFill>
                    <a:srgbClr val="000000"/>
                  </a:solidFill>
                  <a:latin typeface="Calibri"/>
                  <a:cs typeface="Calibri"/>
                </a:rPr>
                <a: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561975</xdr:colOff>
          <xdr:row>1</xdr:row>
          <xdr:rowOff>85725</xdr:rowOff>
        </xdr:from>
        <xdr:to>
          <xdr:col>6</xdr:col>
          <xdr:colOff>1647825</xdr:colOff>
          <xdr:row>1</xdr:row>
          <xdr:rowOff>409575</xdr:rowOff>
        </xdr:to>
        <xdr:sp macro="" textlink="">
          <xdr:nvSpPr>
            <xdr:cNvPr id="2063" name="Button 15" descr="Go to last record." hidden="1">
              <a:extLst>
                <a:ext uri="{63B3BB69-23CF-44E3-9099-C40C66FF867C}">
                  <a14:compatExt spid="_x0000_s2063"/>
                </a:ext>
                <a:ext uri="{FF2B5EF4-FFF2-40B4-BE49-F238E27FC236}">
                  <a16:creationId xmlns:a16="http://schemas.microsoft.com/office/drawing/2014/main" id="{00000000-0008-0000-0000-00000F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Last record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1</xdr:colOff>
      <xdr:row>2</xdr:row>
      <xdr:rowOff>9524</xdr:rowOff>
    </xdr:from>
    <xdr:to>
      <xdr:col>18</xdr:col>
      <xdr:colOff>1</xdr:colOff>
      <xdr:row>26</xdr:row>
      <xdr:rowOff>0</xdr:rowOff>
    </xdr:to>
    <xdr:graphicFrame macro="">
      <xdr:nvGraphicFramePr>
        <xdr:cNvPr id="2" name="PlanAndDelivery_Chart">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0</xdr:colOff>
      <xdr:row>2</xdr:row>
      <xdr:rowOff>9525</xdr:rowOff>
    </xdr:from>
    <xdr:to>
      <xdr:col>4</xdr:col>
      <xdr:colOff>9525</xdr:colOff>
      <xdr:row>9</xdr:row>
      <xdr:rowOff>0</xdr:rowOff>
    </xdr:to>
    <mc:AlternateContent xmlns:mc="http://schemas.openxmlformats.org/markup-compatibility/2006" xmlns:a14="http://schemas.microsoft.com/office/drawing/2010/main">
      <mc:Choice Requires="a14">
        <xdr:graphicFrame macro="">
          <xdr:nvGraphicFramePr>
            <xdr:cNvPr id="3" name="Date (Plan) (Year)">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Date (Plan) (Year)"/>
            </a:graphicData>
          </a:graphic>
        </xdr:graphicFrame>
      </mc:Choice>
      <mc:Fallback xmlns="">
        <xdr:sp macro="" textlink="">
          <xdr:nvSpPr>
            <xdr:cNvPr id="0" name=""/>
            <xdr:cNvSpPr>
              <a:spLocks noTextEdit="1"/>
            </xdr:cNvSpPr>
          </xdr:nvSpPr>
          <xdr:spPr>
            <a:xfrm>
              <a:off x="0" y="390525"/>
              <a:ext cx="2152650" cy="1323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10</xdr:row>
      <xdr:rowOff>0</xdr:rowOff>
    </xdr:from>
    <xdr:to>
      <xdr:col>3</xdr:col>
      <xdr:colOff>981074</xdr:colOff>
      <xdr:row>17</xdr:row>
      <xdr:rowOff>104775</xdr:rowOff>
    </xdr:to>
    <mc:AlternateContent xmlns:mc="http://schemas.openxmlformats.org/markup-compatibility/2006" xmlns:a14="http://schemas.microsoft.com/office/drawing/2010/main">
      <mc:Choice Requires="a14">
        <xdr:graphicFrame macro="">
          <xdr:nvGraphicFramePr>
            <xdr:cNvPr id="4" name="Date (Plan) (Quarter)">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Date (Plan) (Quarter)"/>
            </a:graphicData>
          </a:graphic>
        </xdr:graphicFrame>
      </mc:Choice>
      <mc:Fallback xmlns="">
        <xdr:sp macro="" textlink="">
          <xdr:nvSpPr>
            <xdr:cNvPr id="0" name=""/>
            <xdr:cNvSpPr>
              <a:spLocks noTextEdit="1"/>
            </xdr:cNvSpPr>
          </xdr:nvSpPr>
          <xdr:spPr>
            <a:xfrm>
              <a:off x="0" y="1905000"/>
              <a:ext cx="2143124" cy="14382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18</xdr:row>
      <xdr:rowOff>9525</xdr:rowOff>
    </xdr:from>
    <xdr:to>
      <xdr:col>4</xdr:col>
      <xdr:colOff>9525</xdr:colOff>
      <xdr:row>26</xdr:row>
      <xdr:rowOff>0</xdr:rowOff>
    </xdr:to>
    <mc:AlternateContent xmlns:mc="http://schemas.openxmlformats.org/markup-compatibility/2006">
      <mc:Choice xmlns:a14="http://schemas.microsoft.com/office/drawing/2010/main" Requires="a14">
        <xdr:graphicFrame macro="">
          <xdr:nvGraphicFramePr>
            <xdr:cNvPr id="5" name="Date (Plan) (Month)">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0/slicer">
              <sle:slicer xmlns:sle="http://schemas.microsoft.com/office/drawing/2010/slicer" name="Date (Plan) (Month)"/>
            </a:graphicData>
          </a:graphic>
        </xdr:graphicFrame>
      </mc:Choice>
      <mc:Fallback>
        <xdr:sp macro="" textlink="">
          <xdr:nvSpPr>
            <xdr:cNvPr id="0" name=""/>
            <xdr:cNvSpPr>
              <a:spLocks noTextEdit="1"/>
            </xdr:cNvSpPr>
          </xdr:nvSpPr>
          <xdr:spPr>
            <a:xfrm>
              <a:off x="381000" y="3438525"/>
              <a:ext cx="2152650" cy="15144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27</xdr:row>
      <xdr:rowOff>1</xdr:rowOff>
    </xdr:from>
    <xdr:to>
      <xdr:col>3</xdr:col>
      <xdr:colOff>981074</xdr:colOff>
      <xdr:row>35</xdr:row>
      <xdr:rowOff>0</xdr:rowOff>
    </xdr:to>
    <mc:AlternateContent xmlns:mc="http://schemas.openxmlformats.org/markup-compatibility/2006">
      <mc:Choice xmlns:a14="http://schemas.microsoft.com/office/drawing/2010/main" Requires="a14">
        <xdr:graphicFrame macro="">
          <xdr:nvGraphicFramePr>
            <xdr:cNvPr id="7" name="Week (Out by)">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0/slicer">
              <sle:slicer xmlns:sle="http://schemas.microsoft.com/office/drawing/2010/slicer" name="Week (Out by)"/>
            </a:graphicData>
          </a:graphic>
        </xdr:graphicFrame>
      </mc:Choice>
      <mc:Fallback>
        <xdr:sp macro="" textlink="">
          <xdr:nvSpPr>
            <xdr:cNvPr id="0" name=""/>
            <xdr:cNvSpPr>
              <a:spLocks noTextEdit="1"/>
            </xdr:cNvSpPr>
          </xdr:nvSpPr>
          <xdr:spPr>
            <a:xfrm>
              <a:off x="381000" y="5143501"/>
              <a:ext cx="2143124" cy="15239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0</xdr:colOff>
      <xdr:row>27</xdr:row>
      <xdr:rowOff>9525</xdr:rowOff>
    </xdr:from>
    <xdr:to>
      <xdr:col>15</xdr:col>
      <xdr:colOff>1076325</xdr:colOff>
      <xdr:row>34</xdr:row>
      <xdr:rowOff>180975</xdr:rowOff>
    </xdr:to>
    <mc:AlternateContent xmlns:mc="http://schemas.openxmlformats.org/markup-compatibility/2006">
      <mc:Choice xmlns:tsle="http://schemas.microsoft.com/office/drawing/2012/timeslicer" Requires="tsle">
        <xdr:graphicFrame macro="">
          <xdr:nvGraphicFramePr>
            <xdr:cNvPr id="8" name="Out by 1">
              <a:extLst>
                <a:ext uri="{FF2B5EF4-FFF2-40B4-BE49-F238E27FC236}">
                  <a16:creationId xmlns:a16="http://schemas.microsoft.com/office/drawing/2014/main" id="{9CB79D69-8472-4EF0-9DC4-1226F6973E83}"/>
                </a:ext>
              </a:extLst>
            </xdr:cNvPr>
            <xdr:cNvGraphicFramePr/>
          </xdr:nvGraphicFramePr>
          <xdr:xfrm>
            <a:off x="0" y="0"/>
            <a:ext cx="0" cy="0"/>
          </xdr:xfrm>
          <a:graphic>
            <a:graphicData uri="http://schemas.microsoft.com/office/drawing/2012/timeslicer">
              <tsle:timeslicer xmlns:tsle="http://schemas.microsoft.com/office/drawing/2012/timeslicer" name="Out by 1"/>
            </a:graphicData>
          </a:graphic>
        </xdr:graphicFrame>
      </mc:Choice>
      <mc:Fallback>
        <xdr:sp macro="" textlink="">
          <xdr:nvSpPr>
            <xdr:cNvPr id="0" name=""/>
            <xdr:cNvSpPr>
              <a:spLocks noTextEdit="1"/>
            </xdr:cNvSpPr>
          </xdr:nvSpPr>
          <xdr:spPr>
            <a:xfrm>
              <a:off x="5572125" y="5153025"/>
              <a:ext cx="6505575" cy="1504950"/>
            </a:xfrm>
            <a:prstGeom prst="rect">
              <a:avLst/>
            </a:prstGeom>
            <a:solidFill>
              <a:prstClr val="white"/>
            </a:solidFill>
            <a:ln w="1">
              <a:solidFill>
                <a:prstClr val="green"/>
              </a:solidFill>
            </a:ln>
          </xdr:spPr>
          <xdr:txBody>
            <a:bodyPr vertOverflow="clip" horzOverflow="clip"/>
            <a:lstStyle/>
            <a:p>
              <a:r>
                <a:rPr lang="en-GB" sz="1100"/>
                <a:t>Timeline: Works in Excel or higher. Do not move or resize.</a:t>
              </a:r>
            </a:p>
          </xdr:txBody>
        </xdr:sp>
      </mc:Fallback>
    </mc:AlternateContent>
    <xdr:clientData/>
  </xdr:twoCellAnchor>
  <xdr:twoCellAnchor editAs="oneCell">
    <xdr:from>
      <xdr:col>16</xdr:col>
      <xdr:colOff>333375</xdr:colOff>
      <xdr:row>27</xdr:row>
      <xdr:rowOff>1</xdr:rowOff>
    </xdr:from>
    <xdr:to>
      <xdr:col>17</xdr:col>
      <xdr:colOff>1076325</xdr:colOff>
      <xdr:row>35</xdr:row>
      <xdr:rowOff>1</xdr:rowOff>
    </xdr:to>
    <mc:AlternateContent xmlns:mc="http://schemas.openxmlformats.org/markup-compatibility/2006">
      <mc:Choice xmlns:a14="http://schemas.microsoft.com/office/drawing/2010/main" Requires="a14">
        <xdr:graphicFrame macro="">
          <xdr:nvGraphicFramePr>
            <xdr:cNvPr id="9" name="Job">
              <a:extLst>
                <a:ext uri="{FF2B5EF4-FFF2-40B4-BE49-F238E27FC236}">
                  <a16:creationId xmlns:a16="http://schemas.microsoft.com/office/drawing/2014/main" id="{B3FD68BF-8AB4-4CDE-8189-FB651C87ED50}"/>
                </a:ext>
              </a:extLst>
            </xdr:cNvPr>
            <xdr:cNvGraphicFramePr/>
          </xdr:nvGraphicFramePr>
          <xdr:xfrm>
            <a:off x="0" y="0"/>
            <a:ext cx="0" cy="0"/>
          </xdr:xfrm>
          <a:graphic>
            <a:graphicData uri="http://schemas.microsoft.com/office/drawing/2010/slicer">
              <sle:slicer xmlns:sle="http://schemas.microsoft.com/office/drawing/2010/slicer" name="Job"/>
            </a:graphicData>
          </a:graphic>
        </xdr:graphicFrame>
      </mc:Choice>
      <mc:Fallback>
        <xdr:sp macro="" textlink="">
          <xdr:nvSpPr>
            <xdr:cNvPr id="0" name=""/>
            <xdr:cNvSpPr>
              <a:spLocks noTextEdit="1"/>
            </xdr:cNvSpPr>
          </xdr:nvSpPr>
          <xdr:spPr>
            <a:xfrm>
              <a:off x="12420600" y="5143501"/>
              <a:ext cx="1828800" cy="1524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Janda, Martin" refreshedDate="43482.49860914352" createdVersion="5" refreshedVersion="6" minRefreshableVersion="3" recordCount="0" supportSubquery="1" supportAdvancedDrill="1">
  <cacheSource type="external" connectionId="5"/>
  <cacheFields count="8">
    <cacheField name="[Measures].[Sum of Batch]" caption="Sum of Batch" numFmtId="0" hierarchy="53" level="32767"/>
    <cacheField name="[Output_qry].[Job].[Job]" caption="Job" numFmtId="0" hierarchy="12" level="1">
      <sharedItems containsNonDate="0" count="9">
        <s v="JSC6333"/>
        <s v="JSC6445"/>
        <s v="JSC6533"/>
        <s v="JSC6761"/>
        <s v="JSC6762"/>
        <s v="JSC6784"/>
        <s v="JSC6785"/>
        <s v="JSC6715"/>
        <s v="JSC6816"/>
      </sharedItems>
    </cacheField>
    <cacheField name="[Output_qry].[Date (Plan) (Year)].[Date (Plan) (Year)]" caption="Date (Plan) (Year)" numFmtId="0" hierarchy="7" level="1">
      <sharedItems count="3">
        <s v="2017"/>
        <s v="2018"/>
        <s v="2019"/>
      </sharedItems>
    </cacheField>
    <cacheField name="[Output_qry].[Date (Plan) (Quarter)].[Date (Plan) (Quarter)]" caption="Date (Plan) (Quarter)" numFmtId="0" hierarchy="6" level="1">
      <sharedItems containsNonDate="0" count="1">
        <s v="Qtr1"/>
      </sharedItems>
    </cacheField>
    <cacheField name="[Output_qry].[Date (Plan) (Month)].[Date (Plan) (Month)]" caption="Date (Plan) (Month)" numFmtId="0" hierarchy="5" level="1">
      <sharedItems containsNonDate="0" count="2">
        <s v="Jan"/>
        <s v="Feb"/>
      </sharedItems>
    </cacheField>
    <cacheField name="[Output_qry].[Week (Out by)].[Week (Out by)]" caption="Week (Out by)" numFmtId="0" hierarchy="30" level="1">
      <sharedItems containsNonDate="0" count="5">
        <s v="Week 01"/>
        <s v="Week 02"/>
        <s v="Week 03"/>
        <s v="Week 04"/>
        <s v="Week 05"/>
      </sharedItems>
    </cacheField>
    <cacheField name="[Measures].[Sum of Out qty]" caption="Sum of Out qty" numFmtId="0" hierarchy="55" level="32767"/>
    <cacheField name="[Measures].[Sum of Assembled]" caption="Sum of Assembled" numFmtId="0" hierarchy="56" level="32767"/>
  </cacheFields>
  <cacheHierarchies count="57">
    <cacheHierarchy uniqueName="[Output_qry].[% done]" caption="% done" attribute="1" defaultMemberUniqueName="[Output_qry].[% done].[All]" allUniqueName="[Output_qry].[% done].[All]" dimensionUniqueName="[Output_qry]" displayFolder="" count="0" memberValueDatatype="5" unbalanced="0"/>
    <cacheHierarchy uniqueName="[Output_qry].[Assembled]" caption="Assembled" attribute="1" defaultMemberUniqueName="[Output_qry].[Assembled].[All]" allUniqueName="[Output_qry].[Assembled].[All]" dimensionUniqueName="[Output_qry]" displayFolder="" count="0" memberValueDatatype="20" unbalanced="0"/>
    <cacheHierarchy uniqueName="[Output_qry].[Batch]" caption="Batch" attribute="1" defaultMemberUniqueName="[Output_qry].[Batch].[All]" allUniqueName="[Output_qry].[Batch].[All]" dimensionUniqueName="[Output_qry]" displayFolder="" count="0" memberValueDatatype="20" unbalanced="0"/>
    <cacheHierarchy uniqueName="[Output_qry].[Booked in]" caption="Booked in" attribute="1" time="1" defaultMemberUniqueName="[Output_qry].[Booked in].[All]" allUniqueName="[Output_qry].[Booked in].[All]" dimensionUniqueName="[Output_qry]" displayFolder="" count="0" memberValueDatatype="7" unbalanced="0"/>
    <cacheHierarchy uniqueName="[Output_qry].[Date (Plan)]" caption="Date (Plan)" attribute="1" time="1" defaultMemberUniqueName="[Output_qry].[Date (Plan)].[All]" allUniqueName="[Output_qry].[Date (Plan)].[All]" dimensionUniqueName="[Output_qry]" displayFolder="" count="0" memberValueDatatype="7" unbalanced="0"/>
    <cacheHierarchy uniqueName="[Output_qry].[Date (Plan) (Month)]" caption="Date (Plan) (Month)" attribute="1" defaultMemberUniqueName="[Output_qry].[Date (Plan) (Month)].[All]" allUniqueName="[Output_qry].[Date (Plan) (Month)].[All]" dimensionUniqueName="[Output_qry]" displayFolder="" count="2" memberValueDatatype="130" unbalanced="0">
      <fieldsUsage count="2">
        <fieldUsage x="-1"/>
        <fieldUsage x="4"/>
      </fieldsUsage>
    </cacheHierarchy>
    <cacheHierarchy uniqueName="[Output_qry].[Date (Plan) (Quarter)]" caption="Date (Plan) (Quarter)" attribute="1" defaultMemberUniqueName="[Output_qry].[Date (Plan) (Quarter)].[All]" allUniqueName="[Output_qry].[Date (Plan) (Quarter)].[All]" dimensionUniqueName="[Output_qry]" displayFolder="" count="2" memberValueDatatype="130" unbalanced="0">
      <fieldsUsage count="2">
        <fieldUsage x="-1"/>
        <fieldUsage x="3"/>
      </fieldsUsage>
    </cacheHierarchy>
    <cacheHierarchy uniqueName="[Output_qry].[Date (Plan) (Year)]" caption="Date (Plan) (Year)" attribute="1" defaultMemberUniqueName="[Output_qry].[Date (Plan) (Year)].[All]" allUniqueName="[Output_qry].[Date (Plan) (Year)].[All]" dimensionUniqueName="[Output_qry]" displayFolder="" count="2" memberValueDatatype="130" unbalanced="0">
      <fieldsUsage count="2">
        <fieldUsage x="-1"/>
        <fieldUsage x="2"/>
      </fieldsUsage>
    </cacheHierarchy>
    <cacheHierarchy uniqueName="[Output_qry].[DeliveryAchieved]" caption="DeliveryAchieved" attribute="1" defaultMemberUniqueName="[Output_qry].[DeliveryAchieved].[All]" allUniqueName="[Output_qry].[DeliveryAchieved].[All]" dimensionUniqueName="[Output_qry]" displayFolder="" count="0" memberValueDatatype="11" unbalanced="0"/>
    <cacheHierarchy uniqueName="[Output_qry].[Fail reason]" caption="Fail reason" attribute="1" defaultMemberUniqueName="[Output_qry].[Fail reason].[All]" allUniqueName="[Output_qry].[Fail reason].[All]" dimensionUniqueName="[Output_qry]" displayFolder="" count="0" memberValueDatatype="130" unbalanced="0"/>
    <cacheHierarchy uniqueName="[Output_qry].[In stock (month begins)]" caption="In stock (month begins)" attribute="1" defaultMemberUniqueName="[Output_qry].[In stock (month begins)].[All]" allUniqueName="[Output_qry].[In stock (month begins)].[All]" dimensionUniqueName="[Output_qry]" displayFolder="" count="0" memberValueDatatype="20" unbalanced="0"/>
    <cacheHierarchy uniqueName="[Output_qry].[Index]" caption="Index" attribute="1" defaultMemberUniqueName="[Output_qry].[Index].[All]" allUniqueName="[Output_qry].[Index].[All]" dimensionUniqueName="[Output_qry]" displayFolder="" count="0" memberValueDatatype="5" unbalanced="0"/>
    <cacheHierarchy uniqueName="[Output_qry].[Job]" caption="Job" attribute="1" defaultMemberUniqueName="[Output_qry].[Job].[All]" allUniqueName="[Output_qry].[Job].[All]" dimensionUniqueName="[Output_qry]" displayFolder="" count="2" memberValueDatatype="130" unbalanced="0">
      <fieldsUsage count="2">
        <fieldUsage x="-1"/>
        <fieldUsage x="1"/>
      </fieldsUsage>
    </cacheHierarchy>
    <cacheHierarchy uniqueName="[Output_qry].[Month (Plan)]" caption="Month (Plan)" attribute="1" defaultMemberUniqueName="[Output_qry].[Month (Plan)].[All]" allUniqueName="[Output_qry].[Month (Plan)].[All]" dimensionUniqueName="[Output_qry]" displayFolder="" count="0" memberValueDatatype="130" unbalanced="0"/>
    <cacheHierarchy uniqueName="[Output_qry].[Month (plan) Quantity]" caption="Month (plan) Quantity" attribute="1" defaultMemberUniqueName="[Output_qry].[Month (plan) Quantity].[All]" allUniqueName="[Output_qry].[Month (plan) Quantity].[All]" dimensionUniqueName="[Output_qry]" displayFolder="" count="0" memberValueDatatype="20" unbalanced="0"/>
    <cacheHierarchy uniqueName="[Output_qry].[Month number (Plan)]" caption="Month number (Plan)" attribute="1" defaultMemberUniqueName="[Output_qry].[Month number (Plan)].[All]" allUniqueName="[Output_qry].[Month number (Plan)].[All]" dimensionUniqueName="[Output_qry]" displayFolder="" count="0" memberValueDatatype="130" unbalanced="0"/>
    <cacheHierarchy uniqueName="[Output_qry].[Note]" caption="Note" attribute="1" defaultMemberUniqueName="[Output_qry].[Note].[All]" allUniqueName="[Output_qry].[Note].[All]" dimensionUniqueName="[Output_qry]" displayFolder="" count="0" memberValueDatatype="130" unbalanced="0"/>
    <cacheHierarchy uniqueName="[Output_qry].[OnTimeDelivery]" caption="OnTimeDelivery" attribute="1" defaultMemberUniqueName="[Output_qry].[OnTimeDelivery].[All]" allUniqueName="[Output_qry].[OnTimeDelivery].[All]" dimensionUniqueName="[Output_qry]" displayFolder="" count="0" memberValueDatatype="11" unbalanced="0"/>
    <cacheHierarchy uniqueName="[Output_qry].[Operator]" caption="Operator" attribute="1" defaultMemberUniqueName="[Output_qry].[Operator].[All]" allUniqueName="[Output_qry].[Operator].[All]" dimensionUniqueName="[Output_qry]" displayFolder="" count="0" memberValueDatatype="130" unbalanced="0"/>
    <cacheHierarchy uniqueName="[Output_qry].[Out by]" caption="Out by" attribute="1" time="1" defaultMemberUniqueName="[Output_qry].[Out by].[All]" allUniqueName="[Output_qry].[Out by].[All]" dimensionUniqueName="[Output_qry]" displayFolder="" count="2" memberValueDatatype="7" unbalanced="0"/>
    <cacheHierarchy uniqueName="[Output_qry].[Out qty]" caption="Out qty" attribute="1" defaultMemberUniqueName="[Output_qry].[Out qty].[All]" allUniqueName="[Output_qry].[Out qty].[All]" dimensionUniqueName="[Output_qry]" displayFolder="" count="0" memberValueDatatype="20" unbalanced="0"/>
    <cacheHierarchy uniqueName="[Output_qry].[Out_By_Month_text]" caption="Out_By_Month_text" attribute="1" defaultMemberUniqueName="[Output_qry].[Out_By_Month_text].[All]" allUniqueName="[Output_qry].[Out_By_Month_text].[All]" dimensionUniqueName="[Output_qry]" displayFolder="" count="0" memberValueDatatype="130" unbalanced="0"/>
    <cacheHierarchy uniqueName="[Output_qry].[OutBy_YearMonth]" caption="OutBy_YearMonth" attribute="1" defaultMemberUniqueName="[Output_qry].[OutBy_YearMonth].[All]" allUniqueName="[Output_qry].[OutBy_YearMonth].[All]" dimensionUniqueName="[Output_qry]" displayFolder="" count="0" memberValueDatatype="20" unbalanced="0"/>
    <cacheHierarchy uniqueName="[Output_qry].[Plan_YearMonth]" caption="Plan_YearMonth" attribute="1" defaultMemberUniqueName="[Output_qry].[Plan_YearMonth].[All]" allUniqueName="[Output_qry].[Plan_YearMonth].[All]" dimensionUniqueName="[Output_qry]" displayFolder="" count="0" memberValueDatatype="20" unbalanced="0"/>
    <cacheHierarchy uniqueName="[Output_qry].[Progress]" caption="Progress" attribute="1" defaultMemberUniqueName="[Output_qry].[Progress].[All]" allUniqueName="[Output_qry].[Progress].[All]" dimensionUniqueName="[Output_qry]" displayFolder="" count="0" memberValueDatatype="130" unbalanced="0"/>
    <cacheHierarchy uniqueName="[Output_qry].[QuantityDelivery]" caption="QuantityDelivery" attribute="1" defaultMemberUniqueName="[Output_qry].[QuantityDelivery].[All]" allUniqueName="[Output_qry].[QuantityDelivery].[All]" dimensionUniqueName="[Output_qry]" displayFolder="" count="0" memberValueDatatype="11" unbalanced="0"/>
    <cacheHierarchy uniqueName="[Output_qry].[RTV (in)]" caption="RTV (in)" attribute="1" time="1" defaultMemberUniqueName="[Output_qry].[RTV (in)].[All]" allUniqueName="[Output_qry].[RTV (in)].[All]" dimensionUniqueName="[Output_qry]" displayFolder="" count="0" memberValueDatatype="7" unbalanced="0"/>
    <cacheHierarchy uniqueName="[Output_qry].[Short of…]" caption="Short of…" attribute="1" defaultMemberUniqueName="[Output_qry].[Short of…].[All]" allUniqueName="[Output_qry].[Short of…].[All]" dimensionUniqueName="[Output_qry]" displayFolder="" count="0" memberValueDatatype="130" unbalanced="0"/>
    <cacheHierarchy uniqueName="[Output_qry].[Shortage filled]" caption="Shortage filled" attribute="1" defaultMemberUniqueName="[Output_qry].[Shortage filled].[All]" allUniqueName="[Output_qry].[Shortage filled].[All]" dimensionUniqueName="[Output_qry]" displayFolder="" count="0" memberValueDatatype="130" unbalanced="0"/>
    <cacheHierarchy uniqueName="[Output_qry].[Shortages]" caption="Shortages" attribute="1" defaultMemberUniqueName="[Output_qry].[Shortages].[All]" allUniqueName="[Output_qry].[Shortages].[All]" dimensionUniqueName="[Output_qry]" displayFolder="" count="0" memberValueDatatype="130" unbalanced="0"/>
    <cacheHierarchy uniqueName="[Output_qry].[Week (Out by)]" caption="Week (Out by)" attribute="1" defaultMemberUniqueName="[Output_qry].[Week (Out by)].[All]" allUniqueName="[Output_qry].[Week (Out by)].[All]" dimensionUniqueName="[Output_qry]" displayFolder="" count="2" memberValueDatatype="130" unbalanced="0">
      <fieldsUsage count="2">
        <fieldUsage x="-1"/>
        <fieldUsage x="5"/>
      </fieldsUsage>
    </cacheHierarchy>
    <cacheHierarchy uniqueName="[Output_qry].[Week no (Out by)]" caption="Week no (Out by)" attribute="1" defaultMemberUniqueName="[Output_qry].[Week no (Out by)].[All]" allUniqueName="[Output_qry].[Week no (Out by)].[All]" dimensionUniqueName="[Output_qry]" displayFolder="" count="0" memberValueDatatype="20" unbalanced="0"/>
    <cacheHierarchy uniqueName="[Output_qry].[Year (Plan)]" caption="Year (Plan)" attribute="1" defaultMemberUniqueName="[Output_qry].[Year (Plan)].[All]" allUniqueName="[Output_qry].[Year (Plan)].[All]" dimensionUniqueName="[Output_qry]" displayFolder="" count="0" memberValueDatatype="20" unbalanced="0"/>
    <cacheHierarchy uniqueName="[Output_SplitsOnly_qry].[Index]" caption="Index" attribute="1" defaultMemberUniqueName="[Output_SplitsOnly_qry].[Index].[All]" allUniqueName="[Output_SplitsOnly_qry].[Index].[All]" dimensionUniqueName="[Output_SplitsOnly_qry]" displayFolder="" count="0" memberValueDatatype="5" unbalanced="0"/>
    <cacheHierarchy uniqueName="[Output_SplitsOnly_qry].[Job]" caption="Job" attribute="1" defaultMemberUniqueName="[Output_SplitsOnly_qry].[Job].[All]" allUniqueName="[Output_SplitsOnly_qry].[Job].[All]" dimensionUniqueName="[Output_SplitsOnly_qry]" displayFolder="" count="0" memberValueDatatype="130" unbalanced="0"/>
    <cacheHierarchy uniqueName="[Output_SplitsOnly_qry].[Out qty]" caption="Out qty" attribute="1" defaultMemberUniqueName="[Output_SplitsOnly_qry].[Out qty].[All]" allUniqueName="[Output_SplitsOnly_qry].[Out qty].[All]" dimensionUniqueName="[Output_SplitsOnly_qry]" displayFolder="" count="0" memberValueDatatype="20" unbalanced="0"/>
    <cacheHierarchy uniqueName="[Output_SplitsOnly_Sumary_qry].[CountJobs]" caption="CountJobs" attribute="1" defaultMemberUniqueName="[Output_SplitsOnly_Sumary_qry].[CountJobs].[All]" allUniqueName="[Output_SplitsOnly_Sumary_qry].[CountJobs].[All]" dimensionUniqueName="[Output_SplitsOnly_Sumary_qry]" displayFolder="" count="0" memberValueDatatype="5" unbalanced="0"/>
    <cacheHierarchy uniqueName="[Output_SplitsOnly_Sumary_qry].[Job]" caption="Job" attribute="1" defaultMemberUniqueName="[Output_SplitsOnly_Sumary_qry].[Job].[All]" allUniqueName="[Output_SplitsOnly_Sumary_qry].[Job].[All]" dimensionUniqueName="[Output_SplitsOnly_Sumary_qry]" displayFolder="" count="0" memberValueDatatype="130" unbalanced="0"/>
    <cacheHierarchy uniqueName="[Output_SplitsOnly_Sumary_qry].[SumOutQuantity]" caption="SumOutQuantity" attribute="1" defaultMemberUniqueName="[Output_SplitsOnly_Sumary_qry].[SumOutQuantity].[All]" allUniqueName="[Output_SplitsOnly_Sumary_qry].[SumOutQuantity].[All]" dimensionUniqueName="[Output_SplitsOnly_Sumary_qry]" displayFolder="" count="0" memberValueDatatype="5" unbalanced="0"/>
    <cacheHierarchy uniqueName="[SplitJobs_withDetail_qry].[CountJobs]" caption="CountJobs" attribute="1" defaultMemberUniqueName="[SplitJobs_withDetail_qry].[CountJobs].[All]" allUniqueName="[SplitJobs_withDetail_qry].[CountJobs].[All]" dimensionUniqueName="[SplitJobs_withDetail_qry]" displayFolder="" count="0" memberValueDatatype="5" unbalanced="0"/>
    <cacheHierarchy uniqueName="[SplitJobs_withDetail_qry].[Failed]" caption="Failed" attribute="1" defaultMemberUniqueName="[SplitJobs_withDetail_qry].[Failed].[All]" allUniqueName="[SplitJobs_withDetail_qry].[Failed].[All]" dimensionUniqueName="[SplitJobs_withDetail_qry]" displayFolder="" count="0" memberValueDatatype="130" unbalanced="0"/>
    <cacheHierarchy uniqueName="[SplitJobs_withDetail_qry].[Job]" caption="Job" attribute="1" defaultMemberUniqueName="[SplitJobs_withDetail_qry].[Job].[All]" allUniqueName="[SplitJobs_withDetail_qry].[Job].[All]" dimensionUniqueName="[SplitJobs_withDetail_qry]" displayFolder="" count="0" memberValueDatatype="130" unbalanced="0"/>
    <cacheHierarchy uniqueName="[SplitJobs_withDetail_qry].[Output_qry.Batch]" caption="Output_qry.Batch" attribute="1" defaultMemberUniqueName="[SplitJobs_withDetail_qry].[Output_qry.Batch].[All]" allUniqueName="[SplitJobs_withDetail_qry].[Output_qry.Batch].[All]" dimensionUniqueName="[SplitJobs_withDetail_qry]" displayFolder="" count="0" memberValueDatatype="20" unbalanced="0"/>
    <cacheHierarchy uniqueName="[SplitJobs_withDetail_qry].[Output_qry.Fail reason]" caption="Output_qry.Fail reason" attribute="1" defaultMemberUniqueName="[SplitJobs_withDetail_qry].[Output_qry.Fail reason].[All]" allUniqueName="[SplitJobs_withDetail_qry].[Output_qry.Fail reason].[All]" dimensionUniqueName="[SplitJobs_withDetail_qry]" displayFolder="" count="0" memberValueDatatype="130" unbalanced="0"/>
    <cacheHierarchy uniqueName="[SplitJobs_withDetail_qry].[Output_qry.Index]" caption="Output_qry.Index" attribute="1" defaultMemberUniqueName="[SplitJobs_withDetail_qry].[Output_qry.Index].[All]" allUniqueName="[SplitJobs_withDetail_qry].[Output_qry.Index].[All]" dimensionUniqueName="[SplitJobs_withDetail_qry]" displayFolder="" count="0" memberValueDatatype="5" unbalanced="0"/>
    <cacheHierarchy uniqueName="[SplitJobs_withDetail_qry].[Output_qry.Out qty]" caption="Output_qry.Out qty" attribute="1" defaultMemberUniqueName="[SplitJobs_withDetail_qry].[Output_qry.Out qty].[All]" allUniqueName="[SplitJobs_withDetail_qry].[Output_qry.Out qty].[All]" dimensionUniqueName="[SplitJobs_withDetail_qry]" displayFolder="" count="0" memberValueDatatype="20" unbalanced="0"/>
    <cacheHierarchy uniqueName="[SplitJobs_withDetail_qry].[SumOutQuantity]" caption="SumOutQuantity" attribute="1" defaultMemberUniqueName="[SplitJobs_withDetail_qry].[SumOutQuantity].[All]" allUniqueName="[SplitJobs_withDetail_qry].[SumOutQuantity].[All]" dimensionUniqueName="[SplitJobs_withDetail_qry]" displayFolder="" count="0" memberValueDatatype="5" unbalanced="0"/>
    <cacheHierarchy uniqueName="[Output_qry].[Date (Plan) (Month Index)]" caption="Date (Plan) (Month Index)" attribute="1" defaultMemberUniqueName="[Output_qry].[Date (Plan) (Month Index)].[All]" allUniqueName="[Output_qry].[Date (Plan) (Month Index)].[All]" dimensionUniqueName="[Output_qry]" displayFolder="" count="0" memberValueDatatype="20" unbalanced="0" hidden="1"/>
    <cacheHierarchy uniqueName="[Measures].[__XL_Count Output_qry]" caption="__XL_Count Output_qry" measure="1" displayFolder="" measureGroup="Output_qry" count="0" hidden="1"/>
    <cacheHierarchy uniqueName="[Measures].[__XL_Count Output_SplitsOnly_Sumary_qry]" caption="__XL_Count Output_SplitsOnly_Sumary_qry" measure="1" displayFolder="" measureGroup="Output_SplitsOnly_Sumary_qry" count="0" hidden="1"/>
    <cacheHierarchy uniqueName="[Measures].[__XL_Count Output_SplitsOnly_qry]" caption="__XL_Count Output_SplitsOnly_qry" measure="1" displayFolder="" measureGroup="Output_SplitsOnly_qry" count="0" hidden="1"/>
    <cacheHierarchy uniqueName="[Measures].[__XL_Count SplitJobs_withDetail_qry]" caption="__XL_Count SplitJobs_withDetail_qry" measure="1" displayFolder="" measureGroup="SplitJobs_withDetail_qry" count="0" hidden="1"/>
    <cacheHierarchy uniqueName="[Measures].[__No measures defined]" caption="__No measures defined" measure="1" displayFolder="" count="0" hidden="1"/>
    <cacheHierarchy uniqueName="[Measures].[Sum of Batch]" caption="Sum of Batch" measure="1" displayFolder="" measureGroup="Output_qry" count="0" oneField="1" hidden="1">
      <fieldsUsage count="1">
        <fieldUsage x="0"/>
      </fieldsUsage>
      <extLst>
        <ext xmlns:x15="http://schemas.microsoft.com/office/spreadsheetml/2010/11/main" uri="{B97F6D7D-B522-45F9-BDA1-12C45D357490}">
          <x15:cacheHierarchy aggregatedColumn="2"/>
        </ext>
      </extLst>
    </cacheHierarchy>
    <cacheHierarchy uniqueName="[Measures].[Count of Out by]" caption="Count of Out by" measure="1" displayFolder="" measureGroup="Output_qry" count="0" hidden="1">
      <extLst>
        <ext xmlns:x15="http://schemas.microsoft.com/office/spreadsheetml/2010/11/main" uri="{B97F6D7D-B522-45F9-BDA1-12C45D357490}">
          <x15:cacheHierarchy aggregatedColumn="19"/>
        </ext>
      </extLst>
    </cacheHierarchy>
    <cacheHierarchy uniqueName="[Measures].[Sum of Out qty]" caption="Sum of Out qty" measure="1" displayFolder="" measureGroup="Output_qry" count="0" oneField="1" hidden="1">
      <fieldsUsage count="1">
        <fieldUsage x="6"/>
      </fieldsUsage>
      <extLst>
        <ext xmlns:x15="http://schemas.microsoft.com/office/spreadsheetml/2010/11/main" uri="{B97F6D7D-B522-45F9-BDA1-12C45D357490}">
          <x15:cacheHierarchy aggregatedColumn="20"/>
        </ext>
      </extLst>
    </cacheHierarchy>
    <cacheHierarchy uniqueName="[Measures].[Sum of Assembled]" caption="Sum of Assembled" measure="1" displayFolder="" measureGroup="Output_qry" count="0" oneField="1" hidden="1">
      <fieldsUsage count="1">
        <fieldUsage x="7"/>
      </fieldsUsage>
      <extLst>
        <ext xmlns:x15="http://schemas.microsoft.com/office/spreadsheetml/2010/11/main" uri="{B97F6D7D-B522-45F9-BDA1-12C45D357490}">
          <x15:cacheHierarchy aggregatedColumn="1"/>
        </ext>
      </extLst>
    </cacheHierarchy>
  </cacheHierarchies>
  <kpis count="0"/>
  <dimensions count="5">
    <dimension measure="1" name="Measures" uniqueName="[Measures]" caption="Measures"/>
    <dimension name="Output_qry" uniqueName="[Output_qry]" caption="Output_qry"/>
    <dimension name="Output_SplitsOnly_qry" uniqueName="[Output_SplitsOnly_qry]" caption="Output_SplitsOnly_qry"/>
    <dimension name="Output_SplitsOnly_Sumary_qry" uniqueName="[Output_SplitsOnly_Sumary_qry]" caption="Output_SplitsOnly_Sumary_qry"/>
    <dimension name="SplitJobs_withDetail_qry" uniqueName="[SplitJobs_withDetail_qry]" caption="SplitJobs_withDetail_qry"/>
  </dimensions>
  <measureGroups count="4">
    <measureGroup name="Output_qry" caption="Output_qry"/>
    <measureGroup name="Output_SplitsOnly_qry" caption="Output_SplitsOnly_qry"/>
    <measureGroup name="Output_SplitsOnly_Sumary_qry" caption="Output_SplitsOnly_Sumary_qry"/>
    <measureGroup name="SplitJobs_withDetail_qry" caption="SplitJobs_withDetail_qry"/>
  </measureGroups>
  <maps count="7">
    <map measureGroup="0" dimension="1"/>
    <map measureGroup="0" dimension="3"/>
    <map measureGroup="1" dimension="2"/>
    <map measureGroup="1" dimension="3"/>
    <map measureGroup="2" dimension="3"/>
    <map measureGroup="3"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Martin" refreshedDate="43481.973370486114" createdVersion="3" refreshedVersion="6" minRefreshableVersion="3" recordCount="0" supportSubquery="1" supportAdvancedDrill="1">
  <cacheSource type="external" connectionId="5">
    <extLst>
      <ext xmlns:x14="http://schemas.microsoft.com/office/spreadsheetml/2009/9/main" uri="{F057638F-6D5F-4e77-A914-E7F072B9BCA8}">
        <x14:sourceConnection name="ThisWorkbookDataModel"/>
      </ext>
    </extLst>
  </cacheSource>
  <cacheFields count="0"/>
  <cacheHierarchies count="57">
    <cacheHierarchy uniqueName="[Output_qry].[% done]" caption="% done" attribute="1" defaultMemberUniqueName="[Output_qry].[% done].[All]" allUniqueName="[Output_qry].[% done].[All]" dimensionUniqueName="[Output_qry]" displayFolder="" count="0" memberValueDatatype="5" unbalanced="0"/>
    <cacheHierarchy uniqueName="[Output_qry].[Assembled]" caption="Assembled" attribute="1" defaultMemberUniqueName="[Output_qry].[Assembled].[All]" allUniqueName="[Output_qry].[Assembled].[All]" dimensionUniqueName="[Output_qry]" displayFolder="" count="0" memberValueDatatype="20" unbalanced="0"/>
    <cacheHierarchy uniqueName="[Output_qry].[Batch]" caption="Batch" attribute="1" defaultMemberUniqueName="[Output_qry].[Batch].[All]" allUniqueName="[Output_qry].[Batch].[All]" dimensionUniqueName="[Output_qry]" displayFolder="" count="0" memberValueDatatype="20" unbalanced="0"/>
    <cacheHierarchy uniqueName="[Output_qry].[Booked in]" caption="Booked in" attribute="1" time="1" defaultMemberUniqueName="[Output_qry].[Booked in].[All]" allUniqueName="[Output_qry].[Booked in].[All]" dimensionUniqueName="[Output_qry]" displayFolder="" count="0" memberValueDatatype="7" unbalanced="0"/>
    <cacheHierarchy uniqueName="[Output_qry].[Date (Plan)]" caption="Date (Plan)" attribute="1" time="1" defaultMemberUniqueName="[Output_qry].[Date (Plan)].[All]" allUniqueName="[Output_qry].[Date (Plan)].[All]" dimensionUniqueName="[Output_qry]" displayFolder="" count="0" memberValueDatatype="7" unbalanced="0"/>
    <cacheHierarchy uniqueName="[Output_qry].[Date (Plan) (Month)]" caption="Date (Plan) (Month)" attribute="1" defaultMemberUniqueName="[Output_qry].[Date (Plan) (Month)].[All]" allUniqueName="[Output_qry].[Date (Plan) (Month)].[All]" dimensionUniqueName="[Output_qry]" displayFolder="" count="2" memberValueDatatype="130" unbalanced="0"/>
    <cacheHierarchy uniqueName="[Output_qry].[Date (Plan) (Quarter)]" caption="Date (Plan) (Quarter)" attribute="1" defaultMemberUniqueName="[Output_qry].[Date (Plan) (Quarter)].[All]" allUniqueName="[Output_qry].[Date (Plan) (Quarter)].[All]" dimensionUniqueName="[Output_qry]" displayFolder="" count="2" memberValueDatatype="130" unbalanced="0"/>
    <cacheHierarchy uniqueName="[Output_qry].[Date (Plan) (Year)]" caption="Date (Plan) (Year)" attribute="1" defaultMemberUniqueName="[Output_qry].[Date (Plan) (Year)].[All]" allUniqueName="[Output_qry].[Date (Plan) (Year)].[All]" dimensionUniqueName="[Output_qry]" displayFolder="" count="2" memberValueDatatype="130" unbalanced="0"/>
    <cacheHierarchy uniqueName="[Output_qry].[DeliveryAchieved]" caption="DeliveryAchieved" attribute="1" defaultMemberUniqueName="[Output_qry].[DeliveryAchieved].[All]" allUniqueName="[Output_qry].[DeliveryAchieved].[All]" dimensionUniqueName="[Output_qry]" displayFolder="" count="0" memberValueDatatype="11" unbalanced="0"/>
    <cacheHierarchy uniqueName="[Output_qry].[Fail reason]" caption="Fail reason" attribute="1" defaultMemberUniqueName="[Output_qry].[Fail reason].[All]" allUniqueName="[Output_qry].[Fail reason].[All]" dimensionUniqueName="[Output_qry]" displayFolder="" count="0" memberValueDatatype="130" unbalanced="0"/>
    <cacheHierarchy uniqueName="[Output_qry].[In stock (month begins)]" caption="In stock (month begins)" attribute="1" defaultMemberUniqueName="[Output_qry].[In stock (month begins)].[All]" allUniqueName="[Output_qry].[In stock (month begins)].[All]" dimensionUniqueName="[Output_qry]" displayFolder="" count="0" memberValueDatatype="20" unbalanced="0"/>
    <cacheHierarchy uniqueName="[Output_qry].[Index]" caption="Index" attribute="1" defaultMemberUniqueName="[Output_qry].[Index].[All]" allUniqueName="[Output_qry].[Index].[All]" dimensionUniqueName="[Output_qry]" displayFolder="" count="0" memberValueDatatype="5" unbalanced="0"/>
    <cacheHierarchy uniqueName="[Output_qry].[Job]" caption="Job" attribute="1" defaultMemberUniqueName="[Output_qry].[Job].[All]" allUniqueName="[Output_qry].[Job].[All]" dimensionUniqueName="[Output_qry]" displayFolder="" count="2" memberValueDatatype="130" unbalanced="0"/>
    <cacheHierarchy uniqueName="[Output_qry].[Month (Plan)]" caption="Month (Plan)" attribute="1" defaultMemberUniqueName="[Output_qry].[Month (Plan)].[All]" allUniqueName="[Output_qry].[Month (Plan)].[All]" dimensionUniqueName="[Output_qry]" displayFolder="" count="0" memberValueDatatype="130" unbalanced="0"/>
    <cacheHierarchy uniqueName="[Output_qry].[Month (plan) Quantity]" caption="Month (plan) Quantity" attribute="1" defaultMemberUniqueName="[Output_qry].[Month (plan) Quantity].[All]" allUniqueName="[Output_qry].[Month (plan) Quantity].[All]" dimensionUniqueName="[Output_qry]" displayFolder="" count="0" memberValueDatatype="20" unbalanced="0"/>
    <cacheHierarchy uniqueName="[Output_qry].[Month number (Plan)]" caption="Month number (Plan)" attribute="1" defaultMemberUniqueName="[Output_qry].[Month number (Plan)].[All]" allUniqueName="[Output_qry].[Month number (Plan)].[All]" dimensionUniqueName="[Output_qry]" displayFolder="" count="0" memberValueDatatype="130" unbalanced="0"/>
    <cacheHierarchy uniqueName="[Output_qry].[Note]" caption="Note" attribute="1" defaultMemberUniqueName="[Output_qry].[Note].[All]" allUniqueName="[Output_qry].[Note].[All]" dimensionUniqueName="[Output_qry]" displayFolder="" count="0" memberValueDatatype="130" unbalanced="0"/>
    <cacheHierarchy uniqueName="[Output_qry].[OnTimeDelivery]" caption="OnTimeDelivery" attribute="1" defaultMemberUniqueName="[Output_qry].[OnTimeDelivery].[All]" allUniqueName="[Output_qry].[OnTimeDelivery].[All]" dimensionUniqueName="[Output_qry]" displayFolder="" count="0" memberValueDatatype="11" unbalanced="0"/>
    <cacheHierarchy uniqueName="[Output_qry].[Operator]" caption="Operator" attribute="1" defaultMemberUniqueName="[Output_qry].[Operator].[All]" allUniqueName="[Output_qry].[Operator].[All]" dimensionUniqueName="[Output_qry]" displayFolder="" count="0" memberValueDatatype="130" unbalanced="0"/>
    <cacheHierarchy uniqueName="[Output_qry].[Out by]" caption="Out by" attribute="1" time="1" defaultMemberUniqueName="[Output_qry].[Out by].[All]" allUniqueName="[Output_qry].[Out by].[All]" dimensionUniqueName="[Output_qry]" displayFolder="" count="0" memberValueDatatype="7" unbalanced="0"/>
    <cacheHierarchy uniqueName="[Output_qry].[Out qty]" caption="Out qty" attribute="1" defaultMemberUniqueName="[Output_qry].[Out qty].[All]" allUniqueName="[Output_qry].[Out qty].[All]" dimensionUniqueName="[Output_qry]" displayFolder="" count="0" memberValueDatatype="20" unbalanced="0"/>
    <cacheHierarchy uniqueName="[Output_qry].[Out_By_Month_text]" caption="Out_By_Month_text" attribute="1" defaultMemberUniqueName="[Output_qry].[Out_By_Month_text].[All]" allUniqueName="[Output_qry].[Out_By_Month_text].[All]" dimensionUniqueName="[Output_qry]" displayFolder="" count="0" memberValueDatatype="130" unbalanced="0"/>
    <cacheHierarchy uniqueName="[Output_qry].[OutBy_YearMonth]" caption="OutBy_YearMonth" attribute="1" defaultMemberUniqueName="[Output_qry].[OutBy_YearMonth].[All]" allUniqueName="[Output_qry].[OutBy_YearMonth].[All]" dimensionUniqueName="[Output_qry]" displayFolder="" count="0" memberValueDatatype="20" unbalanced="0"/>
    <cacheHierarchy uniqueName="[Output_qry].[Plan_YearMonth]" caption="Plan_YearMonth" attribute="1" defaultMemberUniqueName="[Output_qry].[Plan_YearMonth].[All]" allUniqueName="[Output_qry].[Plan_YearMonth].[All]" dimensionUniqueName="[Output_qry]" displayFolder="" count="0" memberValueDatatype="20" unbalanced="0"/>
    <cacheHierarchy uniqueName="[Output_qry].[Progress]" caption="Progress" attribute="1" defaultMemberUniqueName="[Output_qry].[Progress].[All]" allUniqueName="[Output_qry].[Progress].[All]" dimensionUniqueName="[Output_qry]" displayFolder="" count="0" memberValueDatatype="130" unbalanced="0"/>
    <cacheHierarchy uniqueName="[Output_qry].[QuantityDelivery]" caption="QuantityDelivery" attribute="1" defaultMemberUniqueName="[Output_qry].[QuantityDelivery].[All]" allUniqueName="[Output_qry].[QuantityDelivery].[All]" dimensionUniqueName="[Output_qry]" displayFolder="" count="0" memberValueDatatype="11" unbalanced="0"/>
    <cacheHierarchy uniqueName="[Output_qry].[RTV (in)]" caption="RTV (in)" attribute="1" time="1" defaultMemberUniqueName="[Output_qry].[RTV (in)].[All]" allUniqueName="[Output_qry].[RTV (in)].[All]" dimensionUniqueName="[Output_qry]" displayFolder="" count="0" memberValueDatatype="7" unbalanced="0"/>
    <cacheHierarchy uniqueName="[Output_qry].[Short of…]" caption="Short of…" attribute="1" defaultMemberUniqueName="[Output_qry].[Short of…].[All]" allUniqueName="[Output_qry].[Short of…].[All]" dimensionUniqueName="[Output_qry]" displayFolder="" count="0" memberValueDatatype="130" unbalanced="0"/>
    <cacheHierarchy uniqueName="[Output_qry].[Shortage filled]" caption="Shortage filled" attribute="1" defaultMemberUniqueName="[Output_qry].[Shortage filled].[All]" allUniqueName="[Output_qry].[Shortage filled].[All]" dimensionUniqueName="[Output_qry]" displayFolder="" count="0" memberValueDatatype="130" unbalanced="0"/>
    <cacheHierarchy uniqueName="[Output_qry].[Shortages]" caption="Shortages" attribute="1" defaultMemberUniqueName="[Output_qry].[Shortages].[All]" allUniqueName="[Output_qry].[Shortages].[All]" dimensionUniqueName="[Output_qry]" displayFolder="" count="0" memberValueDatatype="130" unbalanced="0"/>
    <cacheHierarchy uniqueName="[Output_qry].[Week (Out by)]" caption="Week (Out by)" attribute="1" defaultMemberUniqueName="[Output_qry].[Week (Out by)].[All]" allUniqueName="[Output_qry].[Week (Out by)].[All]" dimensionUniqueName="[Output_qry]" displayFolder="" count="2" memberValueDatatype="130" unbalanced="0"/>
    <cacheHierarchy uniqueName="[Output_qry].[Week no (Out by)]" caption="Week no (Out by)" attribute="1" defaultMemberUniqueName="[Output_qry].[Week no (Out by)].[All]" allUniqueName="[Output_qry].[Week no (Out by)].[All]" dimensionUniqueName="[Output_qry]" displayFolder="" count="0" memberValueDatatype="20" unbalanced="0"/>
    <cacheHierarchy uniqueName="[Output_qry].[Year (Plan)]" caption="Year (Plan)" attribute="1" defaultMemberUniqueName="[Output_qry].[Year (Plan)].[All]" allUniqueName="[Output_qry].[Year (Plan)].[All]" dimensionUniqueName="[Output_qry]" displayFolder="" count="0" memberValueDatatype="20" unbalanced="0"/>
    <cacheHierarchy uniqueName="[Output_SplitsOnly_qry].[Index]" caption="Index" attribute="1" defaultMemberUniqueName="[Output_SplitsOnly_qry].[Index].[All]" allUniqueName="[Output_SplitsOnly_qry].[Index].[All]" dimensionUniqueName="[Output_SplitsOnly_qry]" displayFolder="" count="0" memberValueDatatype="5" unbalanced="0"/>
    <cacheHierarchy uniqueName="[Output_SplitsOnly_qry].[Job]" caption="Job" attribute="1" defaultMemberUniqueName="[Output_SplitsOnly_qry].[Job].[All]" allUniqueName="[Output_SplitsOnly_qry].[Job].[All]" dimensionUniqueName="[Output_SplitsOnly_qry]" displayFolder="" count="0" memberValueDatatype="130" unbalanced="0"/>
    <cacheHierarchy uniqueName="[Output_SplitsOnly_qry].[Out qty]" caption="Out qty" attribute="1" defaultMemberUniqueName="[Output_SplitsOnly_qry].[Out qty].[All]" allUniqueName="[Output_SplitsOnly_qry].[Out qty].[All]" dimensionUniqueName="[Output_SplitsOnly_qry]" displayFolder="" count="0" memberValueDatatype="20" unbalanced="0"/>
    <cacheHierarchy uniqueName="[Output_SplitsOnly_Sumary_qry].[CountJobs]" caption="CountJobs" attribute="1" defaultMemberUniqueName="[Output_SplitsOnly_Sumary_qry].[CountJobs].[All]" allUniqueName="[Output_SplitsOnly_Sumary_qry].[CountJobs].[All]" dimensionUniqueName="[Output_SplitsOnly_Sumary_qry]" displayFolder="" count="0" memberValueDatatype="5" unbalanced="0"/>
    <cacheHierarchy uniqueName="[Output_SplitsOnly_Sumary_qry].[Job]" caption="Job" attribute="1" defaultMemberUniqueName="[Output_SplitsOnly_Sumary_qry].[Job].[All]" allUniqueName="[Output_SplitsOnly_Sumary_qry].[Job].[All]" dimensionUniqueName="[Output_SplitsOnly_Sumary_qry]" displayFolder="" count="0" memberValueDatatype="130" unbalanced="0"/>
    <cacheHierarchy uniqueName="[Output_SplitsOnly_Sumary_qry].[SumOutQuantity]" caption="SumOutQuantity" attribute="1" defaultMemberUniqueName="[Output_SplitsOnly_Sumary_qry].[SumOutQuantity].[All]" allUniqueName="[Output_SplitsOnly_Sumary_qry].[SumOutQuantity].[All]" dimensionUniqueName="[Output_SplitsOnly_Sumary_qry]" displayFolder="" count="0" memberValueDatatype="5" unbalanced="0"/>
    <cacheHierarchy uniqueName="[SplitJobs_withDetail_qry].[CountJobs]" caption="CountJobs" attribute="1" defaultMemberUniqueName="[SplitJobs_withDetail_qry].[CountJobs].[All]" allUniqueName="[SplitJobs_withDetail_qry].[CountJobs].[All]" dimensionUniqueName="[SplitJobs_withDetail_qry]" displayFolder="" count="0" memberValueDatatype="5" unbalanced="0"/>
    <cacheHierarchy uniqueName="[SplitJobs_withDetail_qry].[Failed]" caption="Failed" attribute="1" defaultMemberUniqueName="[SplitJobs_withDetail_qry].[Failed].[All]" allUniqueName="[SplitJobs_withDetail_qry].[Failed].[All]" dimensionUniqueName="[SplitJobs_withDetail_qry]" displayFolder="" count="0" memberValueDatatype="130" unbalanced="0"/>
    <cacheHierarchy uniqueName="[SplitJobs_withDetail_qry].[Job]" caption="Job" attribute="1" defaultMemberUniqueName="[SplitJobs_withDetail_qry].[Job].[All]" allUniqueName="[SplitJobs_withDetail_qry].[Job].[All]" dimensionUniqueName="[SplitJobs_withDetail_qry]" displayFolder="" count="0" memberValueDatatype="130" unbalanced="0"/>
    <cacheHierarchy uniqueName="[SplitJobs_withDetail_qry].[Output_qry.Batch]" caption="Output_qry.Batch" attribute="1" defaultMemberUniqueName="[SplitJobs_withDetail_qry].[Output_qry.Batch].[All]" allUniqueName="[SplitJobs_withDetail_qry].[Output_qry.Batch].[All]" dimensionUniqueName="[SplitJobs_withDetail_qry]" displayFolder="" count="0" memberValueDatatype="20" unbalanced="0"/>
    <cacheHierarchy uniqueName="[SplitJobs_withDetail_qry].[Output_qry.Fail reason]" caption="Output_qry.Fail reason" attribute="1" defaultMemberUniqueName="[SplitJobs_withDetail_qry].[Output_qry.Fail reason].[All]" allUniqueName="[SplitJobs_withDetail_qry].[Output_qry.Fail reason].[All]" dimensionUniqueName="[SplitJobs_withDetail_qry]" displayFolder="" count="0" memberValueDatatype="130" unbalanced="0"/>
    <cacheHierarchy uniqueName="[SplitJobs_withDetail_qry].[Output_qry.Index]" caption="Output_qry.Index" attribute="1" defaultMemberUniqueName="[SplitJobs_withDetail_qry].[Output_qry.Index].[All]" allUniqueName="[SplitJobs_withDetail_qry].[Output_qry.Index].[All]" dimensionUniqueName="[SplitJobs_withDetail_qry]" displayFolder="" count="0" memberValueDatatype="5" unbalanced="0"/>
    <cacheHierarchy uniqueName="[SplitJobs_withDetail_qry].[Output_qry.Out qty]" caption="Output_qry.Out qty" attribute="1" defaultMemberUniqueName="[SplitJobs_withDetail_qry].[Output_qry.Out qty].[All]" allUniqueName="[SplitJobs_withDetail_qry].[Output_qry.Out qty].[All]" dimensionUniqueName="[SplitJobs_withDetail_qry]" displayFolder="" count="0" memberValueDatatype="20" unbalanced="0"/>
    <cacheHierarchy uniqueName="[SplitJobs_withDetail_qry].[SumOutQuantity]" caption="SumOutQuantity" attribute="1" defaultMemberUniqueName="[SplitJobs_withDetail_qry].[SumOutQuantity].[All]" allUniqueName="[SplitJobs_withDetail_qry].[SumOutQuantity].[All]" dimensionUniqueName="[SplitJobs_withDetail_qry]" displayFolder="" count="0" memberValueDatatype="5" unbalanced="0"/>
    <cacheHierarchy uniqueName="[Output_qry].[Date (Plan) (Month Index)]" caption="Date (Plan) (Month Index)" attribute="1" defaultMemberUniqueName="[Output_qry].[Date (Plan) (Month Index)].[All]" allUniqueName="[Output_qry].[Date (Plan) (Month Index)].[All]" dimensionUniqueName="[Output_qry]" displayFolder="" count="0" memberValueDatatype="20" unbalanced="0" hidden="1"/>
    <cacheHierarchy uniqueName="[Measures].[__XL_Count Output_qry]" caption="__XL_Count Output_qry" measure="1" displayFolder="" measureGroup="Output_qry" count="0" hidden="1"/>
    <cacheHierarchy uniqueName="[Measures].[__XL_Count Output_SplitsOnly_Sumary_qry]" caption="__XL_Count Output_SplitsOnly_Sumary_qry" measure="1" displayFolder="" measureGroup="Output_SplitsOnly_Sumary_qry" count="0" hidden="1"/>
    <cacheHierarchy uniqueName="[Measures].[__XL_Count Output_SplitsOnly_qry]" caption="__XL_Count Output_SplitsOnly_qry" measure="1" displayFolder="" measureGroup="Output_SplitsOnly_qry" count="0" hidden="1"/>
    <cacheHierarchy uniqueName="[Measures].[__XL_Count SplitJobs_withDetail_qry]" caption="__XL_Count SplitJobs_withDetail_qry" measure="1" displayFolder="" measureGroup="SplitJobs_withDetail_qry" count="0" hidden="1"/>
    <cacheHierarchy uniqueName="[Measures].[__No measures defined]" caption="__No measures defined" measure="1" displayFolder="" count="0" hidden="1"/>
    <cacheHierarchy uniqueName="[Measures].[Sum of Batch]" caption="Sum of Batch" measure="1" displayFolder="" measureGroup="Output_qry" count="0" hidden="1">
      <extLst>
        <ext xmlns:x15="http://schemas.microsoft.com/office/spreadsheetml/2010/11/main" uri="{B97F6D7D-B522-45F9-BDA1-12C45D357490}">
          <x15:cacheHierarchy aggregatedColumn="2"/>
        </ext>
      </extLst>
    </cacheHierarchy>
    <cacheHierarchy uniqueName="[Measures].[Count of Out by]" caption="Count of Out by" measure="1" displayFolder="" measureGroup="Output_qry" count="0" hidden="1">
      <extLst>
        <ext xmlns:x15="http://schemas.microsoft.com/office/spreadsheetml/2010/11/main" uri="{B97F6D7D-B522-45F9-BDA1-12C45D357490}">
          <x15:cacheHierarchy aggregatedColumn="19"/>
        </ext>
      </extLst>
    </cacheHierarchy>
    <cacheHierarchy uniqueName="[Measures].[Sum of Out qty]" caption="Sum of Out qty" measure="1" displayFolder="" measureGroup="Output_qry" count="0" hidden="1">
      <extLst>
        <ext xmlns:x15="http://schemas.microsoft.com/office/spreadsheetml/2010/11/main" uri="{B97F6D7D-B522-45F9-BDA1-12C45D357490}">
          <x15:cacheHierarchy aggregatedColumn="20"/>
        </ext>
      </extLst>
    </cacheHierarchy>
    <cacheHierarchy uniqueName="[Measures].[Sum of Assembled]" caption="Sum of Assembled" measure="1" displayFolder="" measureGroup="Output_qry" count="0" hidden="1">
      <extLst>
        <ext xmlns:x15="http://schemas.microsoft.com/office/spreadsheetml/2010/11/main" uri="{B97F6D7D-B522-45F9-BDA1-12C45D357490}">
          <x15:cacheHierarchy aggregatedColumn="1"/>
        </ext>
      </extLst>
    </cacheHierarchy>
  </cacheHierarchies>
  <kpis count="0"/>
  <extLst>
    <ext xmlns:x14="http://schemas.microsoft.com/office/spreadsheetml/2009/9/main" uri="{725AE2AE-9491-48be-B2B4-4EB974FC3084}">
      <x14:pivotCacheDefinition slicerData="1" pivotCacheId="111172706"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Martin" refreshedDate="43481.996028009256" createdVersion="5" refreshedVersion="6" minRefreshableVersion="3" recordCount="0" supportSubquery="1" supportAdvancedDrill="1">
  <cacheSource type="external" connectionId="5">
    <extLst>
      <ext xmlns:x14="http://schemas.microsoft.com/office/spreadsheetml/2009/9/main" uri="{F057638F-6D5F-4e77-A914-E7F072B9BCA8}">
        <x14:sourceConnection name="ThisWorkbookDataModel"/>
      </ext>
    </extLst>
  </cacheSource>
  <cacheFields count="7">
    <cacheField name="[Measures].[Sum of Batch]" caption="Sum of Batch" numFmtId="0" hierarchy="53" level="32767"/>
    <cacheField name="[Output_qry].[Date (Plan) (Year)].[Date (Plan) (Year)]" caption="Date (Plan) (Year)" numFmtId="0" hierarchy="7" level="1">
      <sharedItems count="3">
        <s v="2017"/>
        <s v="2018"/>
        <s v="2019"/>
      </sharedItems>
    </cacheField>
    <cacheField name="[Output_qry].[Date (Plan) (Quarter)].[Date (Plan) (Quarter)]" caption="Date (Plan) (Quarter)" numFmtId="0" hierarchy="6" level="1">
      <sharedItems count="4">
        <s v="Qtr3"/>
        <s v="Qtr4"/>
        <s v="Qtr1"/>
        <s v="Qtr2"/>
      </sharedItems>
    </cacheField>
    <cacheField name="[Output_qry].[Date (Plan) (Month)].[Date (Plan) (Month)]" caption="Date (Plan) (Month)" numFmtId="0" hierarchy="5" level="1">
      <sharedItems count="10">
        <s v="Jul"/>
        <s v="Aug"/>
        <s v="Sep"/>
        <s v="Oct"/>
        <s v="Nov"/>
        <s v="Dec"/>
        <s v="Jan"/>
        <s v="Feb"/>
        <s v="Mar"/>
        <s v="Jun"/>
      </sharedItems>
    </cacheField>
    <cacheField name="[Measures].[Sum of Out qty]" caption="Sum of Out qty" numFmtId="0" hierarchy="55" level="32767"/>
    <cacheField name="[Measures].[Sum of Assembled]" caption="Sum of Assembled" numFmtId="0" hierarchy="56" level="32767"/>
    <cacheField name="[Output_qry].[Job].[Job]" caption="Job" numFmtId="0" hierarchy="12" level="1">
      <sharedItems containsSemiMixedTypes="0" containsNonDate="0" containsString="0"/>
    </cacheField>
  </cacheFields>
  <cacheHierarchies count="57">
    <cacheHierarchy uniqueName="[Output_qry].[% done]" caption="% done" attribute="1" defaultMemberUniqueName="[Output_qry].[% done].[All]" allUniqueName="[Output_qry].[% done].[All]" dimensionUniqueName="[Output_qry]" displayFolder="" count="0" memberValueDatatype="5" unbalanced="0"/>
    <cacheHierarchy uniqueName="[Output_qry].[Assembled]" caption="Assembled" attribute="1" defaultMemberUniqueName="[Output_qry].[Assembled].[All]" allUniqueName="[Output_qry].[Assembled].[All]" dimensionUniqueName="[Output_qry]" displayFolder="" count="0" memberValueDatatype="20" unbalanced="0"/>
    <cacheHierarchy uniqueName="[Output_qry].[Batch]" caption="Batch" attribute="1" defaultMemberUniqueName="[Output_qry].[Batch].[All]" allUniqueName="[Output_qry].[Batch].[All]" dimensionUniqueName="[Output_qry]" displayFolder="" count="0" memberValueDatatype="20" unbalanced="0"/>
    <cacheHierarchy uniqueName="[Output_qry].[Booked in]" caption="Booked in" attribute="1" time="1" defaultMemberUniqueName="[Output_qry].[Booked in].[All]" allUniqueName="[Output_qry].[Booked in].[All]" dimensionUniqueName="[Output_qry]" displayFolder="" count="0" memberValueDatatype="7" unbalanced="0"/>
    <cacheHierarchy uniqueName="[Output_qry].[Date (Plan)]" caption="Date (Plan)" attribute="1" time="1" defaultMemberUniqueName="[Output_qry].[Date (Plan)].[All]" allUniqueName="[Output_qry].[Date (Plan)].[All]" dimensionUniqueName="[Output_qry]" displayFolder="" count="0" memberValueDatatype="7" unbalanced="0"/>
    <cacheHierarchy uniqueName="[Output_qry].[Date (Plan) (Month)]" caption="Date (Plan) (Month)" attribute="1" defaultMemberUniqueName="[Output_qry].[Date (Plan) (Month)].[All]" allUniqueName="[Output_qry].[Date (Plan) (Month)].[All]" dimensionUniqueName="[Output_qry]" displayFolder="" count="2" memberValueDatatype="130" unbalanced="0">
      <fieldsUsage count="2">
        <fieldUsage x="-1"/>
        <fieldUsage x="3"/>
      </fieldsUsage>
    </cacheHierarchy>
    <cacheHierarchy uniqueName="[Output_qry].[Date (Plan) (Quarter)]" caption="Date (Plan) (Quarter)" attribute="1" defaultMemberUniqueName="[Output_qry].[Date (Plan) (Quarter)].[All]" allUniqueName="[Output_qry].[Date (Plan) (Quarter)].[All]" dimensionUniqueName="[Output_qry]" displayFolder="" count="2" memberValueDatatype="130" unbalanced="0">
      <fieldsUsage count="2">
        <fieldUsage x="-1"/>
        <fieldUsage x="2"/>
      </fieldsUsage>
    </cacheHierarchy>
    <cacheHierarchy uniqueName="[Output_qry].[Date (Plan) (Year)]" caption="Date (Plan) (Year)" attribute="1" defaultMemberUniqueName="[Output_qry].[Date (Plan) (Year)].[All]" allUniqueName="[Output_qry].[Date (Plan) (Year)].[All]" dimensionUniqueName="[Output_qry]" displayFolder="" count="2" memberValueDatatype="130" unbalanced="0">
      <fieldsUsage count="2">
        <fieldUsage x="-1"/>
        <fieldUsage x="1"/>
      </fieldsUsage>
    </cacheHierarchy>
    <cacheHierarchy uniqueName="[Output_qry].[DeliveryAchieved]" caption="DeliveryAchieved" attribute="1" defaultMemberUniqueName="[Output_qry].[DeliveryAchieved].[All]" allUniqueName="[Output_qry].[DeliveryAchieved].[All]" dimensionUniqueName="[Output_qry]" displayFolder="" count="0" memberValueDatatype="11" unbalanced="0"/>
    <cacheHierarchy uniqueName="[Output_qry].[Fail reason]" caption="Fail reason" attribute="1" defaultMemberUniqueName="[Output_qry].[Fail reason].[All]" allUniqueName="[Output_qry].[Fail reason].[All]" dimensionUniqueName="[Output_qry]" displayFolder="" count="0" memberValueDatatype="130" unbalanced="0"/>
    <cacheHierarchy uniqueName="[Output_qry].[In stock (month begins)]" caption="In stock (month begins)" attribute="1" defaultMemberUniqueName="[Output_qry].[In stock (month begins)].[All]" allUniqueName="[Output_qry].[In stock (month begins)].[All]" dimensionUniqueName="[Output_qry]" displayFolder="" count="0" memberValueDatatype="20" unbalanced="0"/>
    <cacheHierarchy uniqueName="[Output_qry].[Index]" caption="Index" attribute="1" defaultMemberUniqueName="[Output_qry].[Index].[All]" allUniqueName="[Output_qry].[Index].[All]" dimensionUniqueName="[Output_qry]" displayFolder="" count="0" memberValueDatatype="5" unbalanced="0"/>
    <cacheHierarchy uniqueName="[Output_qry].[Job]" caption="Job" attribute="1" defaultMemberUniqueName="[Output_qry].[Job].[All]" allUniqueName="[Output_qry].[Job].[All]" dimensionUniqueName="[Output_qry]" displayFolder="" count="2" memberValueDatatype="130" unbalanced="0">
      <fieldsUsage count="2">
        <fieldUsage x="-1"/>
        <fieldUsage x="6"/>
      </fieldsUsage>
    </cacheHierarchy>
    <cacheHierarchy uniqueName="[Output_qry].[Month (Plan)]" caption="Month (Plan)" attribute="1" defaultMemberUniqueName="[Output_qry].[Month (Plan)].[All]" allUniqueName="[Output_qry].[Month (Plan)].[All]" dimensionUniqueName="[Output_qry]" displayFolder="" count="0" memberValueDatatype="130" unbalanced="0"/>
    <cacheHierarchy uniqueName="[Output_qry].[Month (plan) Quantity]" caption="Month (plan) Quantity" attribute="1" defaultMemberUniqueName="[Output_qry].[Month (plan) Quantity].[All]" allUniqueName="[Output_qry].[Month (plan) Quantity].[All]" dimensionUniqueName="[Output_qry]" displayFolder="" count="0" memberValueDatatype="20" unbalanced="0"/>
    <cacheHierarchy uniqueName="[Output_qry].[Month number (Plan)]" caption="Month number (Plan)" attribute="1" defaultMemberUniqueName="[Output_qry].[Month number (Plan)].[All]" allUniqueName="[Output_qry].[Month number (Plan)].[All]" dimensionUniqueName="[Output_qry]" displayFolder="" count="0" memberValueDatatype="130" unbalanced="0"/>
    <cacheHierarchy uniqueName="[Output_qry].[Note]" caption="Note" attribute="1" defaultMemberUniqueName="[Output_qry].[Note].[All]" allUniqueName="[Output_qry].[Note].[All]" dimensionUniqueName="[Output_qry]" displayFolder="" count="0" memberValueDatatype="130" unbalanced="0"/>
    <cacheHierarchy uniqueName="[Output_qry].[OnTimeDelivery]" caption="OnTimeDelivery" attribute="1" defaultMemberUniqueName="[Output_qry].[OnTimeDelivery].[All]" allUniqueName="[Output_qry].[OnTimeDelivery].[All]" dimensionUniqueName="[Output_qry]" displayFolder="" count="0" memberValueDatatype="11" unbalanced="0"/>
    <cacheHierarchy uniqueName="[Output_qry].[Operator]" caption="Operator" attribute="1" defaultMemberUniqueName="[Output_qry].[Operator].[All]" allUniqueName="[Output_qry].[Operator].[All]" dimensionUniqueName="[Output_qry]" displayFolder="" count="0" memberValueDatatype="130" unbalanced="0"/>
    <cacheHierarchy uniqueName="[Output_qry].[Out by]" caption="Out by" attribute="1" time="1" defaultMemberUniqueName="[Output_qry].[Out by].[All]" allUniqueName="[Output_qry].[Out by].[All]" dimensionUniqueName="[Output_qry]" displayFolder="" count="2" memberValueDatatype="7" unbalanced="0"/>
    <cacheHierarchy uniqueName="[Output_qry].[Out qty]" caption="Out qty" attribute="1" defaultMemberUniqueName="[Output_qry].[Out qty].[All]" allUniqueName="[Output_qry].[Out qty].[All]" dimensionUniqueName="[Output_qry]" displayFolder="" count="0" memberValueDatatype="20" unbalanced="0"/>
    <cacheHierarchy uniqueName="[Output_qry].[Out_By_Month_text]" caption="Out_By_Month_text" attribute="1" defaultMemberUniqueName="[Output_qry].[Out_By_Month_text].[All]" allUniqueName="[Output_qry].[Out_By_Month_text].[All]" dimensionUniqueName="[Output_qry]" displayFolder="" count="0" memberValueDatatype="130" unbalanced="0"/>
    <cacheHierarchy uniqueName="[Output_qry].[OutBy_YearMonth]" caption="OutBy_YearMonth" attribute="1" defaultMemberUniqueName="[Output_qry].[OutBy_YearMonth].[All]" allUniqueName="[Output_qry].[OutBy_YearMonth].[All]" dimensionUniqueName="[Output_qry]" displayFolder="" count="0" memberValueDatatype="20" unbalanced="0"/>
    <cacheHierarchy uniqueName="[Output_qry].[Plan_YearMonth]" caption="Plan_YearMonth" attribute="1" defaultMemberUniqueName="[Output_qry].[Plan_YearMonth].[All]" allUniqueName="[Output_qry].[Plan_YearMonth].[All]" dimensionUniqueName="[Output_qry]" displayFolder="" count="0" memberValueDatatype="20" unbalanced="0"/>
    <cacheHierarchy uniqueName="[Output_qry].[Progress]" caption="Progress" attribute="1" defaultMemberUniqueName="[Output_qry].[Progress].[All]" allUniqueName="[Output_qry].[Progress].[All]" dimensionUniqueName="[Output_qry]" displayFolder="" count="0" memberValueDatatype="130" unbalanced="0"/>
    <cacheHierarchy uniqueName="[Output_qry].[QuantityDelivery]" caption="QuantityDelivery" attribute="1" defaultMemberUniqueName="[Output_qry].[QuantityDelivery].[All]" allUniqueName="[Output_qry].[QuantityDelivery].[All]" dimensionUniqueName="[Output_qry]" displayFolder="" count="0" memberValueDatatype="11" unbalanced="0"/>
    <cacheHierarchy uniqueName="[Output_qry].[RTV (in)]" caption="RTV (in)" attribute="1" time="1" defaultMemberUniqueName="[Output_qry].[RTV (in)].[All]" allUniqueName="[Output_qry].[RTV (in)].[All]" dimensionUniqueName="[Output_qry]" displayFolder="" count="0" memberValueDatatype="7" unbalanced="0"/>
    <cacheHierarchy uniqueName="[Output_qry].[Short of…]" caption="Short of…" attribute="1" defaultMemberUniqueName="[Output_qry].[Short of…].[All]" allUniqueName="[Output_qry].[Short of…].[All]" dimensionUniqueName="[Output_qry]" displayFolder="" count="0" memberValueDatatype="130" unbalanced="0"/>
    <cacheHierarchy uniqueName="[Output_qry].[Shortage filled]" caption="Shortage filled" attribute="1" defaultMemberUniqueName="[Output_qry].[Shortage filled].[All]" allUniqueName="[Output_qry].[Shortage filled].[All]" dimensionUniqueName="[Output_qry]" displayFolder="" count="0" memberValueDatatype="130" unbalanced="0"/>
    <cacheHierarchy uniqueName="[Output_qry].[Shortages]" caption="Shortages" attribute="1" defaultMemberUniqueName="[Output_qry].[Shortages].[All]" allUniqueName="[Output_qry].[Shortages].[All]" dimensionUniqueName="[Output_qry]" displayFolder="" count="0" memberValueDatatype="130" unbalanced="0"/>
    <cacheHierarchy uniqueName="[Output_qry].[Week (Out by)]" caption="Week (Out by)" attribute="1" defaultMemberUniqueName="[Output_qry].[Week (Out by)].[All]" allUniqueName="[Output_qry].[Week (Out by)].[All]" dimensionUniqueName="[Output_qry]" displayFolder="" count="2" memberValueDatatype="130" unbalanced="0"/>
    <cacheHierarchy uniqueName="[Output_qry].[Week no (Out by)]" caption="Week no (Out by)" attribute="1" defaultMemberUniqueName="[Output_qry].[Week no (Out by)].[All]" allUniqueName="[Output_qry].[Week no (Out by)].[All]" dimensionUniqueName="[Output_qry]" displayFolder="" count="0" memberValueDatatype="20" unbalanced="0"/>
    <cacheHierarchy uniqueName="[Output_qry].[Year (Plan)]" caption="Year (Plan)" attribute="1" defaultMemberUniqueName="[Output_qry].[Year (Plan)].[All]" allUniqueName="[Output_qry].[Year (Plan)].[All]" dimensionUniqueName="[Output_qry]" displayFolder="" count="0" memberValueDatatype="20" unbalanced="0"/>
    <cacheHierarchy uniqueName="[Output_SplitsOnly_qry].[Index]" caption="Index" attribute="1" defaultMemberUniqueName="[Output_SplitsOnly_qry].[Index].[All]" allUniqueName="[Output_SplitsOnly_qry].[Index].[All]" dimensionUniqueName="[Output_SplitsOnly_qry]" displayFolder="" count="0" memberValueDatatype="5" unbalanced="0"/>
    <cacheHierarchy uniqueName="[Output_SplitsOnly_qry].[Job]" caption="Job" attribute="1" defaultMemberUniqueName="[Output_SplitsOnly_qry].[Job].[All]" allUniqueName="[Output_SplitsOnly_qry].[Job].[All]" dimensionUniqueName="[Output_SplitsOnly_qry]" displayFolder="" count="0" memberValueDatatype="130" unbalanced="0"/>
    <cacheHierarchy uniqueName="[Output_SplitsOnly_qry].[Out qty]" caption="Out qty" attribute="1" defaultMemberUniqueName="[Output_SplitsOnly_qry].[Out qty].[All]" allUniqueName="[Output_SplitsOnly_qry].[Out qty].[All]" dimensionUniqueName="[Output_SplitsOnly_qry]" displayFolder="" count="0" memberValueDatatype="20" unbalanced="0"/>
    <cacheHierarchy uniqueName="[Output_SplitsOnly_Sumary_qry].[CountJobs]" caption="CountJobs" attribute="1" defaultMemberUniqueName="[Output_SplitsOnly_Sumary_qry].[CountJobs].[All]" allUniqueName="[Output_SplitsOnly_Sumary_qry].[CountJobs].[All]" dimensionUniqueName="[Output_SplitsOnly_Sumary_qry]" displayFolder="" count="0" memberValueDatatype="5" unbalanced="0"/>
    <cacheHierarchy uniqueName="[Output_SplitsOnly_Sumary_qry].[Job]" caption="Job" attribute="1" defaultMemberUniqueName="[Output_SplitsOnly_Sumary_qry].[Job].[All]" allUniqueName="[Output_SplitsOnly_Sumary_qry].[Job].[All]" dimensionUniqueName="[Output_SplitsOnly_Sumary_qry]" displayFolder="" count="0" memberValueDatatype="130" unbalanced="0"/>
    <cacheHierarchy uniqueName="[Output_SplitsOnly_Sumary_qry].[SumOutQuantity]" caption="SumOutQuantity" attribute="1" defaultMemberUniqueName="[Output_SplitsOnly_Sumary_qry].[SumOutQuantity].[All]" allUniqueName="[Output_SplitsOnly_Sumary_qry].[SumOutQuantity].[All]" dimensionUniqueName="[Output_SplitsOnly_Sumary_qry]" displayFolder="" count="0" memberValueDatatype="5" unbalanced="0"/>
    <cacheHierarchy uniqueName="[SplitJobs_withDetail_qry].[CountJobs]" caption="CountJobs" attribute="1" defaultMemberUniqueName="[SplitJobs_withDetail_qry].[CountJobs].[All]" allUniqueName="[SplitJobs_withDetail_qry].[CountJobs].[All]" dimensionUniqueName="[SplitJobs_withDetail_qry]" displayFolder="" count="0" memberValueDatatype="5" unbalanced="0"/>
    <cacheHierarchy uniqueName="[SplitJobs_withDetail_qry].[Failed]" caption="Failed" attribute="1" defaultMemberUniqueName="[SplitJobs_withDetail_qry].[Failed].[All]" allUniqueName="[SplitJobs_withDetail_qry].[Failed].[All]" dimensionUniqueName="[SplitJobs_withDetail_qry]" displayFolder="" count="0" memberValueDatatype="130" unbalanced="0"/>
    <cacheHierarchy uniqueName="[SplitJobs_withDetail_qry].[Job]" caption="Job" attribute="1" defaultMemberUniqueName="[SplitJobs_withDetail_qry].[Job].[All]" allUniqueName="[SplitJobs_withDetail_qry].[Job].[All]" dimensionUniqueName="[SplitJobs_withDetail_qry]" displayFolder="" count="0" memberValueDatatype="130" unbalanced="0"/>
    <cacheHierarchy uniqueName="[SplitJobs_withDetail_qry].[Output_qry.Batch]" caption="Output_qry.Batch" attribute="1" defaultMemberUniqueName="[SplitJobs_withDetail_qry].[Output_qry.Batch].[All]" allUniqueName="[SplitJobs_withDetail_qry].[Output_qry.Batch].[All]" dimensionUniqueName="[SplitJobs_withDetail_qry]" displayFolder="" count="0" memberValueDatatype="20" unbalanced="0"/>
    <cacheHierarchy uniqueName="[SplitJobs_withDetail_qry].[Output_qry.Fail reason]" caption="Output_qry.Fail reason" attribute="1" defaultMemberUniqueName="[SplitJobs_withDetail_qry].[Output_qry.Fail reason].[All]" allUniqueName="[SplitJobs_withDetail_qry].[Output_qry.Fail reason].[All]" dimensionUniqueName="[SplitJobs_withDetail_qry]" displayFolder="" count="0" memberValueDatatype="130" unbalanced="0"/>
    <cacheHierarchy uniqueName="[SplitJobs_withDetail_qry].[Output_qry.Index]" caption="Output_qry.Index" attribute="1" defaultMemberUniqueName="[SplitJobs_withDetail_qry].[Output_qry.Index].[All]" allUniqueName="[SplitJobs_withDetail_qry].[Output_qry.Index].[All]" dimensionUniqueName="[SplitJobs_withDetail_qry]" displayFolder="" count="0" memberValueDatatype="5" unbalanced="0"/>
    <cacheHierarchy uniqueName="[SplitJobs_withDetail_qry].[Output_qry.Out qty]" caption="Output_qry.Out qty" attribute="1" defaultMemberUniqueName="[SplitJobs_withDetail_qry].[Output_qry.Out qty].[All]" allUniqueName="[SplitJobs_withDetail_qry].[Output_qry.Out qty].[All]" dimensionUniqueName="[SplitJobs_withDetail_qry]" displayFolder="" count="0" memberValueDatatype="20" unbalanced="0"/>
    <cacheHierarchy uniqueName="[SplitJobs_withDetail_qry].[SumOutQuantity]" caption="SumOutQuantity" attribute="1" defaultMemberUniqueName="[SplitJobs_withDetail_qry].[SumOutQuantity].[All]" allUniqueName="[SplitJobs_withDetail_qry].[SumOutQuantity].[All]" dimensionUniqueName="[SplitJobs_withDetail_qry]" displayFolder="" count="0" memberValueDatatype="5" unbalanced="0"/>
    <cacheHierarchy uniqueName="[Output_qry].[Date (Plan) (Month Index)]" caption="Date (Plan) (Month Index)" attribute="1" defaultMemberUniqueName="[Output_qry].[Date (Plan) (Month Index)].[All]" allUniqueName="[Output_qry].[Date (Plan) (Month Index)].[All]" dimensionUniqueName="[Output_qry]" displayFolder="" count="0" memberValueDatatype="20" unbalanced="0" hidden="1"/>
    <cacheHierarchy uniqueName="[Measures].[__XL_Count Output_qry]" caption="__XL_Count Output_qry" measure="1" displayFolder="" measureGroup="Output_qry" count="0" hidden="1"/>
    <cacheHierarchy uniqueName="[Measures].[__XL_Count Output_SplitsOnly_Sumary_qry]" caption="__XL_Count Output_SplitsOnly_Sumary_qry" measure="1" displayFolder="" measureGroup="Output_SplitsOnly_Sumary_qry" count="0" hidden="1"/>
    <cacheHierarchy uniqueName="[Measures].[__XL_Count Output_SplitsOnly_qry]" caption="__XL_Count Output_SplitsOnly_qry" measure="1" displayFolder="" measureGroup="Output_SplitsOnly_qry" count="0" hidden="1"/>
    <cacheHierarchy uniqueName="[Measures].[__XL_Count SplitJobs_withDetail_qry]" caption="__XL_Count SplitJobs_withDetail_qry" measure="1" displayFolder="" measureGroup="SplitJobs_withDetail_qry" count="0" hidden="1"/>
    <cacheHierarchy uniqueName="[Measures].[__No measures defined]" caption="__No measures defined" measure="1" displayFolder="" count="0" hidden="1"/>
    <cacheHierarchy uniqueName="[Measures].[Sum of Batch]" caption="Sum of Batch" measure="1" displayFolder="" measureGroup="Output_qry" count="0" oneField="1" hidden="1">
      <fieldsUsage count="1">
        <fieldUsage x="0"/>
      </fieldsUsage>
      <extLst>
        <ext xmlns:x15="http://schemas.microsoft.com/office/spreadsheetml/2010/11/main" uri="{B97F6D7D-B522-45F9-BDA1-12C45D357490}">
          <x15:cacheHierarchy aggregatedColumn="2"/>
        </ext>
      </extLst>
    </cacheHierarchy>
    <cacheHierarchy uniqueName="[Measures].[Count of Out by]" caption="Count of Out by" measure="1" displayFolder="" measureGroup="Output_qry" count="0" hidden="1">
      <extLst>
        <ext xmlns:x15="http://schemas.microsoft.com/office/spreadsheetml/2010/11/main" uri="{B97F6D7D-B522-45F9-BDA1-12C45D357490}">
          <x15:cacheHierarchy aggregatedColumn="19"/>
        </ext>
      </extLst>
    </cacheHierarchy>
    <cacheHierarchy uniqueName="[Measures].[Sum of Out qty]" caption="Sum of Out qty" measure="1" displayFolder="" measureGroup="Output_qry" count="0" oneField="1" hidden="1">
      <fieldsUsage count="1">
        <fieldUsage x="4"/>
      </fieldsUsage>
      <extLst>
        <ext xmlns:x15="http://schemas.microsoft.com/office/spreadsheetml/2010/11/main" uri="{B97F6D7D-B522-45F9-BDA1-12C45D357490}">
          <x15:cacheHierarchy aggregatedColumn="20"/>
        </ext>
      </extLst>
    </cacheHierarchy>
    <cacheHierarchy uniqueName="[Measures].[Sum of Assembled]" caption="Sum of Assembled" measure="1" displayFolder="" measureGroup="Output_qry" count="0" oneField="1" hidden="1">
      <fieldsUsage count="1">
        <fieldUsage x="5"/>
      </fieldsUsage>
      <extLst>
        <ext xmlns:x15="http://schemas.microsoft.com/office/spreadsheetml/2010/11/main" uri="{B97F6D7D-B522-45F9-BDA1-12C45D357490}">
          <x15:cacheHierarchy aggregatedColumn="1"/>
        </ext>
      </extLst>
    </cacheHierarchy>
  </cacheHierarchies>
  <kpis count="0"/>
  <dimensions count="5">
    <dimension measure="1" name="Measures" uniqueName="[Measures]" caption="Measures"/>
    <dimension name="Output_qry" uniqueName="[Output_qry]" caption="Output_qry"/>
    <dimension name="Output_SplitsOnly_qry" uniqueName="[Output_SplitsOnly_qry]" caption="Output_SplitsOnly_qry"/>
    <dimension name="Output_SplitsOnly_Sumary_qry" uniqueName="[Output_SplitsOnly_Sumary_qry]" caption="Output_SplitsOnly_Sumary_qry"/>
    <dimension name="SplitJobs_withDetail_qry" uniqueName="[SplitJobs_withDetail_qry]" caption="SplitJobs_withDetail_qry"/>
  </dimensions>
  <measureGroups count="4">
    <measureGroup name="Output_qry" caption="Output_qry"/>
    <measureGroup name="Output_SplitsOnly_qry" caption="Output_SplitsOnly_qry"/>
    <measureGroup name="Output_SplitsOnly_Sumary_qry" caption="Output_SplitsOnly_Sumary_qry"/>
    <measureGroup name="SplitJobs_withDetail_qry" caption="SplitJobs_withDetail_qry"/>
  </measureGroups>
  <maps count="7">
    <map measureGroup="0" dimension="1"/>
    <map measureGroup="0" dimension="3"/>
    <map measureGroup="1" dimension="2"/>
    <map measureGroup="1" dimension="3"/>
    <map measureGroup="2" dimension="3"/>
    <map measureGroup="3" dimension="3"/>
    <map measureGroup="3" dimension="4"/>
  </maps>
  <extLst>
    <ext xmlns:x14="http://schemas.microsoft.com/office/spreadsheetml/2009/9/main" uri="{725AE2AE-9491-48be-B2B4-4EB974FC3084}">
      <x14:pivotCacheDefinition pivotCacheId="89484763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4.xml><?xml version="1.0" encoding="utf-8"?>
<pivotCacheDefinition xmlns="http://schemas.openxmlformats.org/spreadsheetml/2006/main" xmlns:r="http://schemas.openxmlformats.org/officeDocument/2006/relationships" saveData="0" refreshedBy="Martin" refreshedDate="43481.973371180553" createdVersion="3" refreshedVersion="6" minRefreshableVersion="3" recordCount="0" supportSubquery="1" supportAdvancedDrill="1">
  <cacheSource type="external" connectionId="5">
    <extLst>
      <ext xmlns:x14="http://schemas.microsoft.com/office/spreadsheetml/2009/9/main" uri="{F057638F-6D5F-4e77-A914-E7F072B9BCA8}">
        <x14:sourceConnection name="ThisWorkbookDataModel"/>
      </ext>
    </extLst>
  </cacheSource>
  <cacheFields count="0"/>
  <cacheHierarchies count="57">
    <cacheHierarchy uniqueName="[Output_qry].[% done]" caption="% done" attribute="1" defaultMemberUniqueName="[Output_qry].[% done].[All]" allUniqueName="[Output_qry].[% done].[All]" dimensionUniqueName="[Output_qry]" displayFolder="" count="0" memberValueDatatype="5" unbalanced="0"/>
    <cacheHierarchy uniqueName="[Output_qry].[Assembled]" caption="Assembled" attribute="1" defaultMemberUniqueName="[Output_qry].[Assembled].[All]" allUniqueName="[Output_qry].[Assembled].[All]" dimensionUniqueName="[Output_qry]" displayFolder="" count="0" memberValueDatatype="20" unbalanced="0"/>
    <cacheHierarchy uniqueName="[Output_qry].[Batch]" caption="Batch" attribute="1" defaultMemberUniqueName="[Output_qry].[Batch].[All]" allUniqueName="[Output_qry].[Batch].[All]" dimensionUniqueName="[Output_qry]" displayFolder="" count="0" memberValueDatatype="20" unbalanced="0"/>
    <cacheHierarchy uniqueName="[Output_qry].[Booked in]" caption="Booked in" attribute="1" time="1" defaultMemberUniqueName="[Output_qry].[Booked in].[All]" allUniqueName="[Output_qry].[Booked in].[All]" dimensionUniqueName="[Output_qry]" displayFolder="" count="0" memberValueDatatype="7" unbalanced="0"/>
    <cacheHierarchy uniqueName="[Output_qry].[Date (Plan)]" caption="Date (Plan)" attribute="1" time="1" defaultMemberUniqueName="[Output_qry].[Date (Plan)].[All]" allUniqueName="[Output_qry].[Date (Plan)].[All]" dimensionUniqueName="[Output_qry]" displayFolder="" count="0" memberValueDatatype="7" unbalanced="0"/>
    <cacheHierarchy uniqueName="[Output_qry].[Date (Plan) (Month)]" caption="Date (Plan) (Month)" attribute="1" defaultMemberUniqueName="[Output_qry].[Date (Plan) (Month)].[All]" allUniqueName="[Output_qry].[Date (Plan) (Month)].[All]" dimensionUniqueName="[Output_qry]" displayFolder="" count="0" memberValueDatatype="130" unbalanced="0"/>
    <cacheHierarchy uniqueName="[Output_qry].[Date (Plan) (Quarter)]" caption="Date (Plan) (Quarter)" attribute="1" defaultMemberUniqueName="[Output_qry].[Date (Plan) (Quarter)].[All]" allUniqueName="[Output_qry].[Date (Plan) (Quarter)].[All]" dimensionUniqueName="[Output_qry]" displayFolder="" count="0" memberValueDatatype="130" unbalanced="0"/>
    <cacheHierarchy uniqueName="[Output_qry].[Date (Plan) (Year)]" caption="Date (Plan) (Year)" attribute="1" defaultMemberUniqueName="[Output_qry].[Date (Plan) (Year)].[All]" allUniqueName="[Output_qry].[Date (Plan) (Year)].[All]" dimensionUniqueName="[Output_qry]" displayFolder="" count="0" memberValueDatatype="130" unbalanced="0"/>
    <cacheHierarchy uniqueName="[Output_qry].[DeliveryAchieved]" caption="DeliveryAchieved" attribute="1" defaultMemberUniqueName="[Output_qry].[DeliveryAchieved].[All]" allUniqueName="[Output_qry].[DeliveryAchieved].[All]" dimensionUniqueName="[Output_qry]" displayFolder="" count="0" memberValueDatatype="11" unbalanced="0"/>
    <cacheHierarchy uniqueName="[Output_qry].[Fail reason]" caption="Fail reason" attribute="1" defaultMemberUniqueName="[Output_qry].[Fail reason].[All]" allUniqueName="[Output_qry].[Fail reason].[All]" dimensionUniqueName="[Output_qry]" displayFolder="" count="0" memberValueDatatype="130" unbalanced="0"/>
    <cacheHierarchy uniqueName="[Output_qry].[In stock (month begins)]" caption="In stock (month begins)" attribute="1" defaultMemberUniqueName="[Output_qry].[In stock (month begins)].[All]" allUniqueName="[Output_qry].[In stock (month begins)].[All]" dimensionUniqueName="[Output_qry]" displayFolder="" count="0" memberValueDatatype="20" unbalanced="0"/>
    <cacheHierarchy uniqueName="[Output_qry].[Index]" caption="Index" attribute="1" defaultMemberUniqueName="[Output_qry].[Index].[All]" allUniqueName="[Output_qry].[Index].[All]" dimensionUniqueName="[Output_qry]" displayFolder="" count="0" memberValueDatatype="5" unbalanced="0"/>
    <cacheHierarchy uniqueName="[Output_qry].[Job]" caption="Job" attribute="1" defaultMemberUniqueName="[Output_qry].[Job].[All]" allUniqueName="[Output_qry].[Job].[All]" dimensionUniqueName="[Output_qry]" displayFolder="" count="0" memberValueDatatype="130" unbalanced="0"/>
    <cacheHierarchy uniqueName="[Output_qry].[Month (Plan)]" caption="Month (Plan)" attribute="1" defaultMemberUniqueName="[Output_qry].[Month (Plan)].[All]" allUniqueName="[Output_qry].[Month (Plan)].[All]" dimensionUniqueName="[Output_qry]" displayFolder="" count="0" memberValueDatatype="130" unbalanced="0"/>
    <cacheHierarchy uniqueName="[Output_qry].[Month (plan) Quantity]" caption="Month (plan) Quantity" attribute="1" defaultMemberUniqueName="[Output_qry].[Month (plan) Quantity].[All]" allUniqueName="[Output_qry].[Month (plan) Quantity].[All]" dimensionUniqueName="[Output_qry]" displayFolder="" count="0" memberValueDatatype="20" unbalanced="0"/>
    <cacheHierarchy uniqueName="[Output_qry].[Month number (Plan)]" caption="Month number (Plan)" attribute="1" defaultMemberUniqueName="[Output_qry].[Month number (Plan)].[All]" allUniqueName="[Output_qry].[Month number (Plan)].[All]" dimensionUniqueName="[Output_qry]" displayFolder="" count="0" memberValueDatatype="130" unbalanced="0"/>
    <cacheHierarchy uniqueName="[Output_qry].[Note]" caption="Note" attribute="1" defaultMemberUniqueName="[Output_qry].[Note].[All]" allUniqueName="[Output_qry].[Note].[All]" dimensionUniqueName="[Output_qry]" displayFolder="" count="0" memberValueDatatype="130" unbalanced="0"/>
    <cacheHierarchy uniqueName="[Output_qry].[OnTimeDelivery]" caption="OnTimeDelivery" attribute="1" defaultMemberUniqueName="[Output_qry].[OnTimeDelivery].[All]" allUniqueName="[Output_qry].[OnTimeDelivery].[All]" dimensionUniqueName="[Output_qry]" displayFolder="" count="0" memberValueDatatype="11" unbalanced="0"/>
    <cacheHierarchy uniqueName="[Output_qry].[Operator]" caption="Operator" attribute="1" defaultMemberUniqueName="[Output_qry].[Operator].[All]" allUniqueName="[Output_qry].[Operator].[All]" dimensionUniqueName="[Output_qry]" displayFolder="" count="0" memberValueDatatype="130" unbalanced="0"/>
    <cacheHierarchy uniqueName="[Output_qry].[Out by]" caption="Out by" attribute="1" time="1" defaultMemberUniqueName="[Output_qry].[Out by].[All]" allUniqueName="[Output_qry].[Out by].[All]" dimensionUniqueName="[Output_qry]" displayFolder="" count="2" memberValueDatatype="7" unbalanced="0"/>
    <cacheHierarchy uniqueName="[Output_qry].[Out qty]" caption="Out qty" attribute="1" defaultMemberUniqueName="[Output_qry].[Out qty].[All]" allUniqueName="[Output_qry].[Out qty].[All]" dimensionUniqueName="[Output_qry]" displayFolder="" count="0" memberValueDatatype="20" unbalanced="0"/>
    <cacheHierarchy uniqueName="[Output_qry].[Out_By_Month_text]" caption="Out_By_Month_text" attribute="1" defaultMemberUniqueName="[Output_qry].[Out_By_Month_text].[All]" allUniqueName="[Output_qry].[Out_By_Month_text].[All]" dimensionUniqueName="[Output_qry]" displayFolder="" count="0" memberValueDatatype="130" unbalanced="0"/>
    <cacheHierarchy uniqueName="[Output_qry].[OutBy_YearMonth]" caption="OutBy_YearMonth" attribute="1" defaultMemberUniqueName="[Output_qry].[OutBy_YearMonth].[All]" allUniqueName="[Output_qry].[OutBy_YearMonth].[All]" dimensionUniqueName="[Output_qry]" displayFolder="" count="0" memberValueDatatype="20" unbalanced="0"/>
    <cacheHierarchy uniqueName="[Output_qry].[Plan_YearMonth]" caption="Plan_YearMonth" attribute="1" defaultMemberUniqueName="[Output_qry].[Plan_YearMonth].[All]" allUniqueName="[Output_qry].[Plan_YearMonth].[All]" dimensionUniqueName="[Output_qry]" displayFolder="" count="0" memberValueDatatype="20" unbalanced="0"/>
    <cacheHierarchy uniqueName="[Output_qry].[Progress]" caption="Progress" attribute="1" defaultMemberUniqueName="[Output_qry].[Progress].[All]" allUniqueName="[Output_qry].[Progress].[All]" dimensionUniqueName="[Output_qry]" displayFolder="" count="0" memberValueDatatype="130" unbalanced="0"/>
    <cacheHierarchy uniqueName="[Output_qry].[QuantityDelivery]" caption="QuantityDelivery" attribute="1" defaultMemberUniqueName="[Output_qry].[QuantityDelivery].[All]" allUniqueName="[Output_qry].[QuantityDelivery].[All]" dimensionUniqueName="[Output_qry]" displayFolder="" count="0" memberValueDatatype="11" unbalanced="0"/>
    <cacheHierarchy uniqueName="[Output_qry].[RTV (in)]" caption="RTV (in)" attribute="1" time="1" defaultMemberUniqueName="[Output_qry].[RTV (in)].[All]" allUniqueName="[Output_qry].[RTV (in)].[All]" dimensionUniqueName="[Output_qry]" displayFolder="" count="0" memberValueDatatype="7" unbalanced="0"/>
    <cacheHierarchy uniqueName="[Output_qry].[Short of…]" caption="Short of…" attribute="1" defaultMemberUniqueName="[Output_qry].[Short of…].[All]" allUniqueName="[Output_qry].[Short of…].[All]" dimensionUniqueName="[Output_qry]" displayFolder="" count="0" memberValueDatatype="130" unbalanced="0"/>
    <cacheHierarchy uniqueName="[Output_qry].[Shortage filled]" caption="Shortage filled" attribute="1" defaultMemberUniqueName="[Output_qry].[Shortage filled].[All]" allUniqueName="[Output_qry].[Shortage filled].[All]" dimensionUniqueName="[Output_qry]" displayFolder="" count="0" memberValueDatatype="130" unbalanced="0"/>
    <cacheHierarchy uniqueName="[Output_qry].[Shortages]" caption="Shortages" attribute="1" defaultMemberUniqueName="[Output_qry].[Shortages].[All]" allUniqueName="[Output_qry].[Shortages].[All]" dimensionUniqueName="[Output_qry]" displayFolder="" count="0" memberValueDatatype="130" unbalanced="0"/>
    <cacheHierarchy uniqueName="[Output_qry].[Week (Out by)]" caption="Week (Out by)" attribute="1" defaultMemberUniqueName="[Output_qry].[Week (Out by)].[All]" allUniqueName="[Output_qry].[Week (Out by)].[All]" dimensionUniqueName="[Output_qry]" displayFolder="" count="0" memberValueDatatype="130" unbalanced="0"/>
    <cacheHierarchy uniqueName="[Output_qry].[Week no (Out by)]" caption="Week no (Out by)" attribute="1" defaultMemberUniqueName="[Output_qry].[Week no (Out by)].[All]" allUniqueName="[Output_qry].[Week no (Out by)].[All]" dimensionUniqueName="[Output_qry]" displayFolder="" count="0" memberValueDatatype="20" unbalanced="0"/>
    <cacheHierarchy uniqueName="[Output_qry].[Year (Plan)]" caption="Year (Plan)" attribute="1" defaultMemberUniqueName="[Output_qry].[Year (Plan)].[All]" allUniqueName="[Output_qry].[Year (Plan)].[All]" dimensionUniqueName="[Output_qry]" displayFolder="" count="0" memberValueDatatype="20" unbalanced="0"/>
    <cacheHierarchy uniqueName="[Output_SplitsOnly_qry].[Index]" caption="Index" attribute="1" defaultMemberUniqueName="[Output_SplitsOnly_qry].[Index].[All]" allUniqueName="[Output_SplitsOnly_qry].[Index].[All]" dimensionUniqueName="[Output_SplitsOnly_qry]" displayFolder="" count="0" memberValueDatatype="5" unbalanced="0"/>
    <cacheHierarchy uniqueName="[Output_SplitsOnly_qry].[Job]" caption="Job" attribute="1" defaultMemberUniqueName="[Output_SplitsOnly_qry].[Job].[All]" allUniqueName="[Output_SplitsOnly_qry].[Job].[All]" dimensionUniqueName="[Output_SplitsOnly_qry]" displayFolder="" count="0" memberValueDatatype="130" unbalanced="0"/>
    <cacheHierarchy uniqueName="[Output_SplitsOnly_qry].[Out qty]" caption="Out qty" attribute="1" defaultMemberUniqueName="[Output_SplitsOnly_qry].[Out qty].[All]" allUniqueName="[Output_SplitsOnly_qry].[Out qty].[All]" dimensionUniqueName="[Output_SplitsOnly_qry]" displayFolder="" count="0" memberValueDatatype="20" unbalanced="0"/>
    <cacheHierarchy uniqueName="[Output_SplitsOnly_Sumary_qry].[CountJobs]" caption="CountJobs" attribute="1" defaultMemberUniqueName="[Output_SplitsOnly_Sumary_qry].[CountJobs].[All]" allUniqueName="[Output_SplitsOnly_Sumary_qry].[CountJobs].[All]" dimensionUniqueName="[Output_SplitsOnly_Sumary_qry]" displayFolder="" count="0" memberValueDatatype="5" unbalanced="0"/>
    <cacheHierarchy uniqueName="[Output_SplitsOnly_Sumary_qry].[Job]" caption="Job" attribute="1" defaultMemberUniqueName="[Output_SplitsOnly_Sumary_qry].[Job].[All]" allUniqueName="[Output_SplitsOnly_Sumary_qry].[Job].[All]" dimensionUniqueName="[Output_SplitsOnly_Sumary_qry]" displayFolder="" count="0" memberValueDatatype="130" unbalanced="0"/>
    <cacheHierarchy uniqueName="[Output_SplitsOnly_Sumary_qry].[SumOutQuantity]" caption="SumOutQuantity" attribute="1" defaultMemberUniqueName="[Output_SplitsOnly_Sumary_qry].[SumOutQuantity].[All]" allUniqueName="[Output_SplitsOnly_Sumary_qry].[SumOutQuantity].[All]" dimensionUniqueName="[Output_SplitsOnly_Sumary_qry]" displayFolder="" count="0" memberValueDatatype="5" unbalanced="0"/>
    <cacheHierarchy uniqueName="[SplitJobs_withDetail_qry].[CountJobs]" caption="CountJobs" attribute="1" defaultMemberUniqueName="[SplitJobs_withDetail_qry].[CountJobs].[All]" allUniqueName="[SplitJobs_withDetail_qry].[CountJobs].[All]" dimensionUniqueName="[SplitJobs_withDetail_qry]" displayFolder="" count="0" memberValueDatatype="5" unbalanced="0"/>
    <cacheHierarchy uniqueName="[SplitJobs_withDetail_qry].[Failed]" caption="Failed" attribute="1" defaultMemberUniqueName="[SplitJobs_withDetail_qry].[Failed].[All]" allUniqueName="[SplitJobs_withDetail_qry].[Failed].[All]" dimensionUniqueName="[SplitJobs_withDetail_qry]" displayFolder="" count="0" memberValueDatatype="130" unbalanced="0"/>
    <cacheHierarchy uniqueName="[SplitJobs_withDetail_qry].[Job]" caption="Job" attribute="1" defaultMemberUniqueName="[SplitJobs_withDetail_qry].[Job].[All]" allUniqueName="[SplitJobs_withDetail_qry].[Job].[All]" dimensionUniqueName="[SplitJobs_withDetail_qry]" displayFolder="" count="0" memberValueDatatype="130" unbalanced="0"/>
    <cacheHierarchy uniqueName="[SplitJobs_withDetail_qry].[Output_qry.Batch]" caption="Output_qry.Batch" attribute="1" defaultMemberUniqueName="[SplitJobs_withDetail_qry].[Output_qry.Batch].[All]" allUniqueName="[SplitJobs_withDetail_qry].[Output_qry.Batch].[All]" dimensionUniqueName="[SplitJobs_withDetail_qry]" displayFolder="" count="0" memberValueDatatype="20" unbalanced="0"/>
    <cacheHierarchy uniqueName="[SplitJobs_withDetail_qry].[Output_qry.Fail reason]" caption="Output_qry.Fail reason" attribute="1" defaultMemberUniqueName="[SplitJobs_withDetail_qry].[Output_qry.Fail reason].[All]" allUniqueName="[SplitJobs_withDetail_qry].[Output_qry.Fail reason].[All]" dimensionUniqueName="[SplitJobs_withDetail_qry]" displayFolder="" count="0" memberValueDatatype="130" unbalanced="0"/>
    <cacheHierarchy uniqueName="[SplitJobs_withDetail_qry].[Output_qry.Index]" caption="Output_qry.Index" attribute="1" defaultMemberUniqueName="[SplitJobs_withDetail_qry].[Output_qry.Index].[All]" allUniqueName="[SplitJobs_withDetail_qry].[Output_qry.Index].[All]" dimensionUniqueName="[SplitJobs_withDetail_qry]" displayFolder="" count="0" memberValueDatatype="5" unbalanced="0"/>
    <cacheHierarchy uniqueName="[SplitJobs_withDetail_qry].[Output_qry.Out qty]" caption="Output_qry.Out qty" attribute="1" defaultMemberUniqueName="[SplitJobs_withDetail_qry].[Output_qry.Out qty].[All]" allUniqueName="[SplitJobs_withDetail_qry].[Output_qry.Out qty].[All]" dimensionUniqueName="[SplitJobs_withDetail_qry]" displayFolder="" count="0" memberValueDatatype="20" unbalanced="0"/>
    <cacheHierarchy uniqueName="[SplitJobs_withDetail_qry].[SumOutQuantity]" caption="SumOutQuantity" attribute="1" defaultMemberUniqueName="[SplitJobs_withDetail_qry].[SumOutQuantity].[All]" allUniqueName="[SplitJobs_withDetail_qry].[SumOutQuantity].[All]" dimensionUniqueName="[SplitJobs_withDetail_qry]" displayFolder="" count="0" memberValueDatatype="5" unbalanced="0"/>
    <cacheHierarchy uniqueName="[Output_qry].[Date (Plan) (Month Index)]" caption="Date (Plan) (Month Index)" attribute="1" defaultMemberUniqueName="[Output_qry].[Date (Plan) (Month Index)].[All]" allUniqueName="[Output_qry].[Date (Plan) (Month Index)].[All]" dimensionUniqueName="[Output_qry]" displayFolder="" count="0" memberValueDatatype="20" unbalanced="0" hidden="1"/>
    <cacheHierarchy uniqueName="[Measures].[__XL_Count Output_qry]" caption="__XL_Count Output_qry" measure="1" displayFolder="" measureGroup="Output_qry" count="0" hidden="1"/>
    <cacheHierarchy uniqueName="[Measures].[__XL_Count Output_SplitsOnly_Sumary_qry]" caption="__XL_Count Output_SplitsOnly_Sumary_qry" measure="1" displayFolder="" measureGroup="Output_SplitsOnly_Sumary_qry" count="0" hidden="1"/>
    <cacheHierarchy uniqueName="[Measures].[__XL_Count Output_SplitsOnly_qry]" caption="__XL_Count Output_SplitsOnly_qry" measure="1" displayFolder="" measureGroup="Output_SplitsOnly_qry" count="0" hidden="1"/>
    <cacheHierarchy uniqueName="[Measures].[__XL_Count SplitJobs_withDetail_qry]" caption="__XL_Count SplitJobs_withDetail_qry" measure="1" displayFolder="" measureGroup="SplitJobs_withDetail_qry" count="0" hidden="1"/>
    <cacheHierarchy uniqueName="[Measures].[__No measures defined]" caption="__No measures defined" measure="1" displayFolder="" count="0" hidden="1"/>
    <cacheHierarchy uniqueName="[Measures].[Sum of Batch]" caption="Sum of Batch" measure="1" displayFolder="" measureGroup="Output_qry" count="0" hidden="1">
      <extLst>
        <ext xmlns:x15="http://schemas.microsoft.com/office/spreadsheetml/2010/11/main" uri="{B97F6D7D-B522-45F9-BDA1-12C45D357490}">
          <x15:cacheHierarchy aggregatedColumn="2"/>
        </ext>
      </extLst>
    </cacheHierarchy>
    <cacheHierarchy uniqueName="[Measures].[Count of Out by]" caption="Count of Out by" measure="1" displayFolder="" measureGroup="Output_qry" count="0" hidden="1">
      <extLst>
        <ext xmlns:x15="http://schemas.microsoft.com/office/spreadsheetml/2010/11/main" uri="{B97F6D7D-B522-45F9-BDA1-12C45D357490}">
          <x15:cacheHierarchy aggregatedColumn="19"/>
        </ext>
      </extLst>
    </cacheHierarchy>
    <cacheHierarchy uniqueName="[Measures].[Sum of Out qty]" caption="Sum of Out qty" measure="1" displayFolder="" measureGroup="Output_qry" count="0" hidden="1">
      <extLst>
        <ext xmlns:x15="http://schemas.microsoft.com/office/spreadsheetml/2010/11/main" uri="{B97F6D7D-B522-45F9-BDA1-12C45D357490}">
          <x15:cacheHierarchy aggregatedColumn="20"/>
        </ext>
      </extLst>
    </cacheHierarchy>
    <cacheHierarchy uniqueName="[Measures].[Sum of Assembled]" caption="Sum of Assembled" measure="1" displayFolder="" measureGroup="Output_qry" count="0" hidden="1">
      <extLst>
        <ext xmlns:x15="http://schemas.microsoft.com/office/spreadsheetml/2010/11/main" uri="{B97F6D7D-B522-45F9-BDA1-12C45D357490}">
          <x15:cacheHierarchy aggregatedColumn="1"/>
        </ext>
      </extLst>
    </cacheHierarchy>
  </cacheHierarchies>
  <kpis count="0"/>
  <extLst>
    <ext xmlns:x14="http://schemas.microsoft.com/office/spreadsheetml/2009/9/main" uri="{725AE2AE-9491-48be-B2B4-4EB974FC3084}">
      <x14:pivotCacheDefinition pivotCacheId="844578105"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ChartTable2" cacheId="2" applyNumberFormats="0" applyBorderFormats="0" applyFontFormats="0" applyPatternFormats="0" applyAlignmentFormats="0" applyWidthHeightFormats="1" dataCaption="Values" updatedVersion="6" minRefreshableVersion="5" useAutoFormatting="1" itemPrintTitles="1" createdVersion="5" indent="0" outline="1" outlineData="1" multipleFieldFilters="0" chartFormat="1">
  <location ref="A1:D30" firstHeaderRow="0" firstDataRow="1" firstDataCol="1"/>
  <pivotFields count="7">
    <pivotField dataField="1" subtotalTop="0" showAll="0" defaultSubtotal="0"/>
    <pivotField axis="axisRow" allDrilled="1" subtotalTop="0" showAll="0" dataSourceSort="1" defaultSubtotal="0" defaultAttributeDrillState="1">
      <items count="3">
        <item x="0"/>
        <item x="1"/>
        <item x="2"/>
      </items>
    </pivotField>
    <pivotField axis="axisRow"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 dataField="1" subtotalTop="0" showAll="0" defaultSubtotal="0"/>
    <pivotField allDrilled="1" subtotalTop="0" showAll="0" dataSourceSort="1" defaultSubtotal="0" defaultAttributeDrillState="1"/>
  </pivotFields>
  <rowFields count="3">
    <field x="1"/>
    <field x="2"/>
    <field x="3"/>
  </rowFields>
  <rowItems count="29">
    <i>
      <x/>
    </i>
    <i r="1">
      <x/>
    </i>
    <i r="2">
      <x/>
    </i>
    <i r="2">
      <x v="1"/>
    </i>
    <i r="2">
      <x v="2"/>
    </i>
    <i r="1">
      <x v="1"/>
    </i>
    <i r="2">
      <x v="3"/>
    </i>
    <i r="2">
      <x v="4"/>
    </i>
    <i r="2">
      <x v="5"/>
    </i>
    <i>
      <x v="1"/>
    </i>
    <i r="1">
      <x v="2"/>
    </i>
    <i r="2">
      <x v="6"/>
    </i>
    <i r="2">
      <x v="7"/>
    </i>
    <i r="2">
      <x v="8"/>
    </i>
    <i r="1">
      <x v="3"/>
    </i>
    <i r="2">
      <x v="9"/>
    </i>
    <i r="1">
      <x/>
    </i>
    <i r="2">
      <x/>
    </i>
    <i r="2">
      <x v="1"/>
    </i>
    <i r="2">
      <x v="2"/>
    </i>
    <i r="1">
      <x v="1"/>
    </i>
    <i r="2">
      <x v="3"/>
    </i>
    <i r="2">
      <x v="4"/>
    </i>
    <i r="2">
      <x v="5"/>
    </i>
    <i>
      <x v="2"/>
    </i>
    <i r="1">
      <x v="2"/>
    </i>
    <i r="2">
      <x v="6"/>
    </i>
    <i r="2">
      <x v="7"/>
    </i>
    <i t="grand">
      <x/>
    </i>
  </rowItems>
  <colFields count="1">
    <field x="-2"/>
  </colFields>
  <colItems count="3">
    <i>
      <x/>
    </i>
    <i i="1">
      <x v="1"/>
    </i>
    <i i="2">
      <x v="2"/>
    </i>
  </colItems>
  <dataFields count="3">
    <dataField name="Plan" fld="0" baseField="2" baseItem="0"/>
    <dataField name="Assembled batch" fld="4" baseField="3" baseItem="1"/>
    <dataField name="Assembled job" fld="5" baseField="3" baseItem="1"/>
  </dataFields>
  <chartFormats count="3">
    <chartFormat chart="0" format="174" series="1">
      <pivotArea type="data" outline="0" fieldPosition="0">
        <references count="1">
          <reference field="4294967294" count="1" selected="0">
            <x v="0"/>
          </reference>
        </references>
      </pivotArea>
    </chartFormat>
    <chartFormat chart="0" format="177" series="1">
      <pivotArea type="data" outline="0" fieldPosition="0">
        <references count="1">
          <reference field="4294967294" count="1" selected="0">
            <x v="1"/>
          </reference>
        </references>
      </pivotArea>
    </chartFormat>
    <chartFormat chart="0" format="178" series="1">
      <pivotArea type="data" outline="0" fieldPosition="0">
        <references count="1">
          <reference field="4294967294" count="1" selected="0">
            <x v="2"/>
          </reference>
        </references>
      </pivotArea>
    </chartFormat>
  </chartFormats>
  <pivotHierarchies count="57">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lan"/>
    <pivotHierarchy dragToData="1"/>
    <pivotHierarchy dragToData="1" caption="Assembled batch"/>
    <pivotHierarchy dragToData="1" caption="Assembled job"/>
  </pivotHierarchies>
  <rowHierarchiesUsage count="3">
    <rowHierarchyUsage hierarchyUsage="7"/>
    <rowHierarchyUsage hierarchyUsage="6"/>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29" columnCount="3" cacheId="894847632">
        <x15:pivotRow count="3">
          <x15:c t="e">
            <x15:v/>
          </x15:c>
          <x15:c t="e">
            <x15:v/>
          </x15:c>
          <x15:c t="e">
            <x15:v/>
          </x15:c>
        </x15:pivotRow>
        <x15:pivotRow count="3">
          <x15:c t="e">
            <x15:v/>
          </x15:c>
          <x15:c t="e">
            <x15:v/>
          </x15:c>
          <x15:c t="e">
            <x15:v/>
          </x15:c>
        </x15:pivotRow>
        <x15:pivotRow count="3">
          <x15:c>
            <x15:v>56</x15:v>
          </x15:c>
          <x15:c>
            <x15:v>54</x15:v>
          </x15:c>
          <x15:c>
            <x15:v>54</x15:v>
          </x15:c>
        </x15:pivotRow>
        <x15:pivotRow count="3">
          <x15:c>
            <x15:v>64</x15:v>
          </x15:c>
          <x15:c>
            <x15:v>47</x15:v>
          </x15:c>
          <x15:c>
            <x15:v>47</x15:v>
          </x15:c>
        </x15:pivotRow>
        <x15:pivotRow count="3">
          <x15:c>
            <x15:v>66</x15:v>
          </x15:c>
          <x15:c>
            <x15:v>66</x15:v>
          </x15:c>
          <x15:c>
            <x15:v>66</x15:v>
          </x15:c>
        </x15:pivotRow>
        <x15:pivotRow count="3">
          <x15:c t="e">
            <x15:v/>
          </x15:c>
          <x15:c t="e">
            <x15:v/>
          </x15:c>
          <x15:c t="e">
            <x15:v/>
          </x15:c>
        </x15:pivotRow>
        <x15:pivotRow count="3">
          <x15:c>
            <x15:v>64</x15:v>
          </x15:c>
          <x15:c>
            <x15:v>64</x15:v>
          </x15:c>
          <x15:c>
            <x15:v>64</x15:v>
          </x15:c>
        </x15:pivotRow>
        <x15:pivotRow count="3">
          <x15:c>
            <x15:v>72</x15:v>
          </x15:c>
          <x15:c>
            <x15:v>71</x15:v>
          </x15:c>
          <x15:c>
            <x15:v>71</x15:v>
          </x15:c>
        </x15:pivotRow>
        <x15:pivotRow count="3">
          <x15:c>
            <x15:v>40</x15:v>
          </x15:c>
          <x15:c>
            <x15:v>39</x15:v>
          </x15:c>
          <x15:c>
            <x15:v>39</x15:v>
          </x15:c>
        </x15:pivotRow>
        <x15:pivotRow count="3">
          <x15:c t="e">
            <x15:v/>
          </x15:c>
          <x15:c t="e">
            <x15:v/>
          </x15:c>
          <x15:c t="e">
            <x15:v/>
          </x15:c>
        </x15:pivotRow>
        <x15:pivotRow count="3">
          <x15:c t="e">
            <x15:v/>
          </x15:c>
          <x15:c t="e">
            <x15:v/>
          </x15:c>
          <x15:c t="e">
            <x15:v/>
          </x15:c>
        </x15:pivotRow>
        <x15:pivotRow count="3">
          <x15:c>
            <x15:v>80</x15:v>
          </x15:c>
          <x15:c>
            <x15:v>80</x15:v>
          </x15:c>
          <x15:c>
            <x15:v>80</x15:v>
          </x15:c>
        </x15:pivotRow>
        <x15:pivotRow count="3">
          <x15:c>
            <x15:v>48</x15:v>
          </x15:c>
          <x15:c>
            <x15:v>41</x15:v>
          </x15:c>
          <x15:c>
            <x15:v>41</x15:v>
          </x15:c>
        </x15:pivotRow>
        <x15:pivotRow count="3">
          <x15:c>
            <x15:v>16</x15:v>
          </x15:c>
          <x15:c>
            <x15:v>15</x15:v>
          </x15:c>
          <x15:c>
            <x15:v>15</x15:v>
          </x15:c>
        </x15:pivotRow>
        <x15:pivotRow count="3">
          <x15:c t="e">
            <x15:v/>
          </x15:c>
          <x15:c t="e">
            <x15:v/>
          </x15:c>
          <x15:c t="e">
            <x15:v/>
          </x15:c>
        </x15:pivotRow>
        <x15:pivotRow count="3">
          <x15:c>
            <x15:v>16</x15:v>
          </x15:c>
          <x15:c>
            <x15:v>16</x15:v>
          </x15:c>
          <x15:c>
            <x15:v>16</x15:v>
          </x15:c>
        </x15:pivotRow>
        <x15:pivotRow count="3">
          <x15:c t="e">
            <x15:v/>
          </x15:c>
          <x15:c t="e">
            <x15:v/>
          </x15:c>
          <x15:c t="e">
            <x15:v/>
          </x15:c>
        </x15:pivotRow>
        <x15:pivotRow count="3">
          <x15:c>
            <x15:v>16</x15:v>
          </x15:c>
          <x15:c>
            <x15:v>15</x15:v>
          </x15:c>
          <x15:c>
            <x15:v>15</x15:v>
          </x15:c>
        </x15:pivotRow>
        <x15:pivotRow count="3">
          <x15:c>
            <x15:v>40</x15:v>
          </x15:c>
          <x15:c>
            <x15:v>40</x15:v>
          </x15:c>
          <x15:c>
            <x15:v>40</x15:v>
          </x15:c>
        </x15:pivotRow>
        <x15:pivotRow count="3">
          <x15:c>
            <x15:v>40</x15:v>
          </x15:c>
          <x15:c>
            <x15:v>39</x15:v>
          </x15:c>
          <x15:c>
            <x15:v>39</x15:v>
          </x15:c>
        </x15:pivotRow>
        <x15:pivotRow count="3">
          <x15:c t="e">
            <x15:v/>
          </x15:c>
          <x15:c t="e">
            <x15:v/>
          </x15:c>
          <x15:c t="e">
            <x15:v/>
          </x15:c>
        </x15:pivotRow>
        <x15:pivotRow count="3">
          <x15:c>
            <x15:v>80</x15:v>
          </x15:c>
          <x15:c>
            <x15:v>80</x15:v>
          </x15:c>
          <x15:c>
            <x15:v>80</x15:v>
          </x15:c>
        </x15:pivotRow>
        <x15:pivotRow count="3">
          <x15:c>
            <x15:v>40</x15:v>
          </x15:c>
          <x15:c>
            <x15:v>39</x15:v>
          </x15:c>
          <x15:c>
            <x15:v>39</x15:v>
          </x15:c>
        </x15:pivotRow>
        <x15:pivotRow count="3">
          <x15:c>
            <x15:v>40</x15:v>
          </x15:c>
          <x15:c>
            <x15:v>40</x15:v>
          </x15:c>
          <x15:c>
            <x15:v>40</x15:v>
          </x15:c>
        </x15:pivotRow>
        <x15:pivotRow count="3">
          <x15:c t="e">
            <x15:v/>
          </x15:c>
          <x15:c t="e">
            <x15:v/>
          </x15:c>
          <x15:c t="e">
            <x15:v/>
          </x15:c>
        </x15:pivotRow>
        <x15:pivotRow count="3">
          <x15:c t="e">
            <x15:v/>
          </x15:c>
          <x15:c t="e">
            <x15:v/>
          </x15:c>
          <x15:c t="e">
            <x15:v/>
          </x15:c>
        </x15:pivotRow>
        <x15:pivotRow count="3">
          <x15:c>
            <x15:v>48</x15:v>
          </x15:c>
          <x15:c>
            <x15:v>40</x15:v>
          </x15:c>
          <x15:c>
            <x15:v>40</x15:v>
          </x15:c>
        </x15:pivotRow>
        <x15:pivotRow count="3">
          <x15:c>
            <x15:v>24</x15:v>
          </x15:c>
          <x15:c t="e">
            <x15:v/>
          </x15:c>
          <x15:c t="e">
            <x15:v/>
          </x15:c>
        </x15:pivotRow>
        <x15:pivotRow count="3">
          <x15:c>
            <x15:v>850</x15:v>
          </x15:c>
          <x15:c>
            <x15:v>786</x15:v>
          </x15:c>
          <x15:c>
            <x15:v>786</x15:v>
          </x15:c>
        </x15:pivotRow>
      </x15:pivotTableData>
    </ext>
    <ext xmlns:x15="http://schemas.microsoft.com/office/spreadsheetml/2010/11/main" uri="{E67621CE-5B39-4880-91FE-76760E9C1902}">
      <x15:pivotTableUISettings>
        <x15:activeTabTopLevelEntity name="[Output_q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name="PlanAndDelivery_Pivot" cacheId="12" applyNumberFormats="0" applyBorderFormats="0" applyFontFormats="0" applyPatternFormats="0" applyAlignmentFormats="0" applyWidthHeightFormats="1" dataCaption="Values" tag="3e43777e-a5fc-45fd-bce0-3be23816b471" updatedVersion="6" minRefreshableVersion="5" useAutoFormatting="1" itemPrintTitles="1" createdVersion="5" indent="0" showHeaders="0" outline="1" outlineData="1" multipleFieldFilters="0">
  <location ref="F3:I7" firstHeaderRow="0" firstDataRow="1" firstDataCol="1"/>
  <pivotFields count="8">
    <pivotField dataField="1" subtotalTop="0" showAll="0" defaultSubtotal="0"/>
    <pivotField axis="axisRow" allDrilled="1" subtotalTop="0" showAll="0" dataSourceSort="1" defaultSubtotal="0" defaultAttributeDrillState="1">
      <items count="9">
        <item x="0"/>
        <item x="1"/>
        <item x="2"/>
        <item x="3"/>
        <item x="4"/>
        <item x="5"/>
        <item x="6"/>
        <item x="7"/>
        <item x="8"/>
      </items>
    </pivotField>
    <pivotField axis="axisRow" allDrilled="1" subtotalTop="0" showAll="0" dataSourceSort="1" defaultSubtotal="0" defaultAttributeDrillState="1">
      <items count="3">
        <item x="0" e="0"/>
        <item x="1" e="0"/>
        <item x="2" e="0"/>
      </items>
    </pivotField>
    <pivotField axis="axisRow" allDrilled="1" subtotalTop="0" showAll="0" dataSourceSort="1" defaultSubtotal="0" defaultAttributeDrillState="1">
      <items count="1">
        <item x="0"/>
      </items>
    </pivotField>
    <pivotField axis="axisRow" allDrilled="1" subtotalTop="0" showAll="0" dataSourceSort="1" defaultSubtotal="0" defaultAttributeDrillState="1">
      <items count="2">
        <item x="0"/>
        <item x="1"/>
      </items>
    </pivotField>
    <pivotField axis="axisRow" allDrilled="1" subtotalTop="0" showAll="0" dataSourceSort="1" defaultSubtotal="0" defaultAttributeDrillState="1">
      <items count="5">
        <item x="0"/>
        <item x="1"/>
        <item x="2"/>
        <item x="3"/>
        <item x="4"/>
      </items>
    </pivotField>
    <pivotField dataField="1" subtotalTop="0" showAll="0" defaultSubtotal="0"/>
    <pivotField dataField="1" subtotalTop="0" showAll="0" defaultSubtotal="0"/>
  </pivotFields>
  <rowFields count="5">
    <field x="2"/>
    <field x="3"/>
    <field x="4"/>
    <field x="5"/>
    <field x="1"/>
  </rowFields>
  <rowItems count="4">
    <i>
      <x/>
    </i>
    <i>
      <x v="1"/>
    </i>
    <i>
      <x v="2"/>
    </i>
    <i t="grand">
      <x/>
    </i>
  </rowItems>
  <colFields count="1">
    <field x="-2"/>
  </colFields>
  <colItems count="3">
    <i>
      <x/>
    </i>
    <i i="1">
      <x v="1"/>
    </i>
    <i i="2">
      <x v="2"/>
    </i>
  </colItems>
  <dataFields count="3">
    <dataField name="Plan" fld="0" baseField="2" baseItem="0"/>
    <dataField name="Output" fld="6" baseField="2" baseItem="1"/>
    <dataField name="Assembled" fld="7" baseField="2" baseItem="1"/>
  </dataFields>
  <pivotHierarchies count="57">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lan"/>
    <pivotHierarchy dragToData="1"/>
    <pivotHierarchy dragToData="1" caption="Output"/>
    <pivotHierarchy dragToData="1" caption="Assembled"/>
  </pivotHierarchies>
  <pivotTableStyleInfo name="PivotStyleLight16" showRowHeaders="1" showColHeaders="1" showRowStripes="0" showColStripes="0" showLastColumn="1"/>
  <rowHierarchiesUsage count="5">
    <rowHierarchyUsage hierarchyUsage="7"/>
    <rowHierarchyUsage hierarchyUsage="6"/>
    <rowHierarchyUsage hierarchyUsage="5"/>
    <rowHierarchyUsage hierarchyUsage="30"/>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utput_qry]"/>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ate__Plan___Year" sourceName="[Output_qry].[Date (Plan) (Year)]">
  <pivotTables>
    <pivotTable tabId="11" name="PlanAndDelivery_Pivot"/>
  </pivotTables>
  <data>
    <olap pivotCacheId="111172706">
      <levels count="2">
        <level uniqueName="[Output_qry].[Date (Plan) (Year)].[(All)]" sourceCaption="(All)" count="0"/>
        <level uniqueName="[Output_qry].[Date (Plan) (Year)].[Date (Plan) (Year)]" sourceCaption="Date (Plan) (Year)" count="3">
          <ranges>
            <range startItem="0">
              <i n="[Output_qry].[Date (Plan) (Year)].&amp;[2017]" c="2017"/>
              <i n="[Output_qry].[Date (Plan) (Year)].&amp;[2018]" c="2018"/>
              <i n="[Output_qry].[Date (Plan) (Year)].&amp;[2019]" c="2019"/>
            </range>
          </ranges>
        </level>
      </levels>
      <selections count="1">
        <selection n="[Output_qry].[Date (Plan) (Year)].[All]"/>
      </selections>
    </olap>
  </data>
  <extLst>
    <x:ext xmlns:x15="http://schemas.microsoft.com/office/spreadsheetml/2010/11/main" uri="{03082B11-2C62-411c-B77F-237D8FCFBE4C}">
      <x15:slicerCachePivotTables>
        <pivotTable tabId="4294967295" name="PivotChartTable2"/>
      </x15:slicerCachePivotTables>
    </x:ext>
    <x:ext xmlns:x15="http://schemas.microsoft.com/office/spreadsheetml/2010/11/main" uri="{470722E0-AACD-4C17-9CDC-17EF765DBC7E}">
      <x15:slicerCacheHideItemsWithNoData count="1">
        <x15:slicerCacheOlapLevelName uniqueName="[Output_qry].[Date (Plan) (Year)].[Date (Plan) (Year)]"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e__Plan___Quarter" sourceName="[Output_qry].[Date (Plan) (Quarter)]">
  <pivotTables>
    <pivotTable tabId="11" name="PlanAndDelivery_Pivot"/>
  </pivotTables>
  <data>
    <olap pivotCacheId="111172706">
      <levels count="2">
        <level uniqueName="[Output_qry].[Date (Plan) (Quarter)].[(All)]" sourceCaption="(All)" count="0"/>
        <level uniqueName="[Output_qry].[Date (Plan) (Quarter)].[Date (Plan) (Quarter)]" sourceCaption="Date (Plan) (Quarter)" count="4">
          <ranges>
            <range startItem="0">
              <i n="[Output_qry].[Date (Plan) (Quarter)].&amp;[Qtr1]" c="Qtr1"/>
              <i n="[Output_qry].[Date (Plan) (Quarter)].&amp;[Qtr2]" c="Qtr2"/>
              <i n="[Output_qry].[Date (Plan) (Quarter)].&amp;[Qtr3]" c="Qtr3"/>
              <i n="[Output_qry].[Date (Plan) (Quarter)].&amp;[Qtr4]" c="Qtr4"/>
            </range>
          </ranges>
        </level>
      </levels>
      <selections count="1">
        <selection n="[Output_qry].[Date (Plan) (Quarter)].[All]"/>
      </selections>
    </olap>
  </data>
  <extLst>
    <x:ext xmlns:x15="http://schemas.microsoft.com/office/spreadsheetml/2010/11/main" uri="{03082B11-2C62-411c-B77F-237D8FCFBE4C}">
      <x15:slicerCachePivotTables>
        <pivotTable tabId="4294967295" name="PivotChartTable2"/>
      </x15:slicerCachePivotTables>
    </x:ext>
    <x:ext xmlns:x15="http://schemas.microsoft.com/office/spreadsheetml/2010/11/main" uri="{470722E0-AACD-4C17-9CDC-17EF765DBC7E}">
      <x15:slicerCacheHideItemsWithNoData count="1">
        <x15:slicerCacheOlapLevelName uniqueName="[Output_qry].[Date (Plan) (Quarter)].[Date (Plan) (Quarter)]" count="0"/>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Date__Plan___Month" sourceName="[Output_qry].[Date (Plan) (Month)]">
  <pivotTables>
    <pivotTable tabId="11" name="PlanAndDelivery_Pivot"/>
  </pivotTables>
  <data>
    <olap pivotCacheId="111172706">
      <levels count="2">
        <level uniqueName="[Output_qry].[Date (Plan) (Month)].[(All)]" sourceCaption="(All)" count="0"/>
        <level uniqueName="[Output_qry].[Date (Plan) (Month)].[Date (Plan) (Month)]" sourceCaption="Date (Plan) (Month)" count="10">
          <ranges>
            <range startItem="0">
              <i n="[Output_qry].[Date (Plan) (Month)].&amp;[Jan]" c="Jan"/>
              <i n="[Output_qry].[Date (Plan) (Month)].&amp;[Feb]" c="Feb"/>
              <i n="[Output_qry].[Date (Plan) (Month)].&amp;[Mar]" c="Mar"/>
              <i n="[Output_qry].[Date (Plan) (Month)].&amp;[Jun]" c="Jun"/>
              <i n="[Output_qry].[Date (Plan) (Month)].&amp;[Jul]" c="Jul"/>
              <i n="[Output_qry].[Date (Plan) (Month)].&amp;[Aug]" c="Aug"/>
              <i n="[Output_qry].[Date (Plan) (Month)].&amp;[Sep]" c="Sep"/>
              <i n="[Output_qry].[Date (Plan) (Month)].&amp;[Oct]" c="Oct"/>
              <i n="[Output_qry].[Date (Plan) (Month)].&amp;[Nov]" c="Nov"/>
              <i n="[Output_qry].[Date (Plan) (Month)].&amp;[Dec]" c="Dec"/>
            </range>
          </ranges>
        </level>
      </levels>
      <selections count="1">
        <selection n="[Output_qry].[Date (Plan) (Month)].[All]"/>
      </selections>
    </olap>
  </data>
  <extLst>
    <x:ext xmlns:x15="http://schemas.microsoft.com/office/spreadsheetml/2010/11/main" uri="{03082B11-2C62-411c-B77F-237D8FCFBE4C}">
      <x15:slicerCachePivotTables>
        <pivotTable tabId="4294967295" name="PivotChartTable2"/>
      </x15:slicerCachePivotTables>
    </x:ext>
    <x:ext xmlns:x15="http://schemas.microsoft.com/office/spreadsheetml/2010/11/main" uri="{470722E0-AACD-4C17-9CDC-17EF765DBC7E}">
      <x15:slicerCacheHideItemsWithNoData count="1">
        <x15:slicerCacheOlapLevelName uniqueName="[Output_qry].[Date (Plan) (Month)].[Date (Plan) (Month)]" count="0"/>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Week__Out_by" sourceName="[Output_qry].[Week (Out by)]">
  <pivotTables>
    <pivotTable tabId="11" name="PlanAndDelivery_Pivot"/>
  </pivotTables>
  <data>
    <olap pivotCacheId="111172706">
      <levels count="2">
        <level uniqueName="[Output_qry].[Week (Out by)].[(All)]" sourceCaption="(All)" count="0"/>
        <level uniqueName="[Output_qry].[Week (Out by)].[Week (Out by)]" sourceCaption="Week (Out by)" count="32" sortOrder="ascending">
          <ranges>
            <range startItem="0">
              <i n="[Output_qry].[Week (Out by)].&amp;[Week 01]" c="Week 01"/>
              <i n="[Output_qry].[Week (Out by)].&amp;[Week 02]" c="Week 02"/>
              <i n="[Output_qry].[Week (Out by)].&amp;[Week 03]" c="Week 03"/>
              <i n="[Output_qry].[Week (Out by)].&amp;[Week 04]" c="Week 04"/>
              <i n="[Output_qry].[Week (Out by)].&amp;[Week 05]" c="Week 05"/>
              <i n="[Output_qry].[Week (Out by)].&amp;[Week 06]" c="Week 06"/>
              <i n="[Output_qry].[Week (Out by)].&amp;[Week 07]" c="Week 07"/>
              <i n="[Output_qry].[Week (Out by)].&amp;[Week 08]" c="Week 08"/>
              <i n="[Output_qry].[Week (Out by)].&amp;[Week 23]" c="Week 23"/>
              <i n="[Output_qry].[Week (Out by)].&amp;[Week 24]" c="Week 24"/>
              <i n="[Output_qry].[Week (Out by)].&amp;[Week 25]" c="Week 25"/>
              <i n="[Output_qry].[Week (Out by)].&amp;[Week 31]" c="Week 31"/>
              <i n="[Output_qry].[Week (Out by)].&amp;[Week 32]" c="Week 32"/>
              <i n="[Output_qry].[Week (Out by)].&amp;[Week 33]" c="Week 33"/>
              <i n="[Output_qry].[Week (Out by)].&amp;[Week 34]" c="Week 34"/>
              <i n="[Output_qry].[Week (Out by)].&amp;[Week 35]" c="Week 35"/>
              <i n="[Output_qry].[Week (Out by)].&amp;[Week 36]" c="Week 36"/>
              <i n="[Output_qry].[Week (Out by)].&amp;[Week 37]" c="Week 37"/>
              <i n="[Output_qry].[Week (Out by)].&amp;[Week 38]" c="Week 38"/>
              <i n="[Output_qry].[Week (Out by)].&amp;[Week 39]" c="Week 39"/>
              <i n="[Output_qry].[Week (Out by)].&amp;[Week 40]" c="Week 40"/>
              <i n="[Output_qry].[Week (Out by)].&amp;[Week 41]" c="Week 41"/>
              <i n="[Output_qry].[Week (Out by)].&amp;[Week 42]" c="Week 42"/>
              <i n="[Output_qry].[Week (Out by)].&amp;[Week 43]" c="Week 43"/>
              <i n="[Output_qry].[Week (Out by)].&amp;[Week 44]" c="Week 44"/>
              <i n="[Output_qry].[Week (Out by)].&amp;[Week 45]" c="Week 45"/>
              <i n="[Output_qry].[Week (Out by)].&amp;[Week 46]" c="Week 46"/>
              <i n="[Output_qry].[Week (Out by)].&amp;[Week 47]" c="Week 47"/>
              <i n="[Output_qry].[Week (Out by)].&amp;[Week 48]" c="Week 48"/>
              <i n="[Output_qry].[Week (Out by)].&amp;[Week 49]" c="Week 49"/>
              <i n="[Output_qry].[Week (Out by)].&amp;[Week 51]" c="Week 51"/>
              <i n="[Output_qry].[Week (Out by)].&amp;[Week 52]" c="Week 52"/>
            </range>
          </ranges>
        </level>
      </levels>
      <selections count="1">
        <selection n="[Output_qry].[Week (Out by)].[All]"/>
      </selections>
    </olap>
  </data>
  <extLst>
    <x:ext xmlns:x15="http://schemas.microsoft.com/office/spreadsheetml/2010/11/main" uri="{03082B11-2C62-411c-B77F-237D8FCFBE4C}">
      <x15:slicerCachePivotTables>
        <pivotTable tabId="4294967295" name="PivotChartTable2"/>
      </x15:slicerCachePivotTables>
    </x:ext>
    <x:ext xmlns:x15="http://schemas.microsoft.com/office/spreadsheetml/2010/11/main" uri="{470722E0-AACD-4C17-9CDC-17EF765DBC7E}">
      <x15:slicerCacheHideItemsWithNoData count="1">
        <x15:slicerCacheOlapLevelName uniqueName="[Output_qry].[Week (Out by)].[Week (Out by)]" count="0"/>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Job" sourceName="[Output_qry].[Job]">
  <pivotTables>
    <pivotTable tabId="11" name="PlanAndDelivery_Pivot"/>
  </pivotTables>
  <data>
    <olap pivotCacheId="111172706">
      <levels count="2">
        <level uniqueName="[Output_qry].[Job].[(All)]" sourceCaption="(All)" count="0"/>
        <level uniqueName="[Output_qry].[Job].[Job]" sourceCaption="Job" count="102">
          <ranges>
            <range startItem="0">
              <i n="[Output_qry].[Job].&amp;[JSC000256]" c="JSC000256"/>
              <i n="[Output_qry].[Job].&amp;[JSC000257]" c="JSC000257"/>
              <i n="[Output_qry].[Job].&amp;[JSC000464]" c="JSC000464"/>
              <i n="[Output_qry].[Job].&amp;[JSC000549]" c="JSC000549"/>
              <i n="[Output_qry].[Job].&amp;[JSC000550]" c="JSC000550"/>
              <i n="[Output_qry].[Job].&amp;[JSC000551]" c="JSC000551"/>
              <i n="[Output_qry].[Job].&amp;[JSC000672]" c="JSC000672"/>
              <i n="[Output_qry].[Job].&amp;[JSC000717]" c="JSC000717"/>
              <i n="[Output_qry].[Job].&amp;[JSC000718]" c="JSC000718"/>
              <i n="[Output_qry].[Job].&amp;[JSC000738]" c="JSC000738"/>
              <i n="[Output_qry].[Job].&amp;[JSC000739]" c="JSC000739"/>
              <i n="[Output_qry].[Job].&amp;[JSC000831]" c="JSC000831"/>
              <i n="[Output_qry].[Job].&amp;[JSC1144]" c="JSC1144"/>
              <i n="[Output_qry].[Job].&amp;[JSC1145]" c="JSC1145"/>
              <i n="[Output_qry].[Job].&amp;[JSC1238]" c="JSC1238"/>
              <i n="[Output_qry].[Job].&amp;[JSC1270]" c="JSC1270"/>
              <i n="[Output_qry].[Job].&amp;[JSC1271]" c="JSC1271"/>
              <i n="[Output_qry].[Job].&amp;[JSC1345]" c="JSC1345"/>
              <i n="[Output_qry].[Job].&amp;[JSC2595]" c="JSC2595"/>
              <i n="[Output_qry].[Job].&amp;[JSC2855]" c="JSC2855"/>
              <i n="[Output_qry].[Job].&amp;[JSC3106]" c="JSC3106"/>
              <i n="[Output_qry].[Job].&amp;[JSC3129]" c="JSC3129"/>
              <i n="[Output_qry].[Job].&amp;[JSC3979]" c="JSC3979"/>
              <i n="[Output_qry].[Job].&amp;[JSC3980]" c="JSC3980"/>
              <i n="[Output_qry].[Job].&amp;[JSC4228]" c="JSC4228"/>
              <i n="[Output_qry].[Job].&amp;[JSC4243]" c="JSC4243"/>
              <i n="[Output_qry].[Job].&amp;[JSC4244]" c="JSC4244"/>
              <i n="[Output_qry].[Job].&amp;[JSC4570]" c="JSC4570"/>
              <i n="[Output_qry].[Job].&amp;[JSC4571]" c="JSC4571"/>
              <i n="[Output_qry].[Job].&amp;[JSC4619]" c="JSC4619"/>
              <i n="[Output_qry].[Job].&amp;[JSC4942]" c="JSC4942"/>
              <i n="[Output_qry].[Job].&amp;[JSC4943]" c="JSC4943"/>
              <i n="[Output_qry].[Job].&amp;[JSC4976]" c="JSC4976"/>
              <i n="[Output_qry].[Job].&amp;[JSC4977]" c="JSC4977"/>
              <i n="[Output_qry].[Job].&amp;[JSC4978]" c="JSC4978"/>
              <i n="[Output_qry].[Job].&amp;[JSC5142]" c="JSC5142"/>
              <i n="[Output_qry].[Job].&amp;[JSC5143]" c="JSC5143"/>
              <i n="[Output_qry].[Job].&amp;[JSC5144]" c="JSC5144"/>
              <i n="[Output_qry].[Job].&amp;[JSC5145]" c="JSC5145"/>
              <i n="[Output_qry].[Job].&amp;[JSC5146]" c="JSC5146"/>
              <i n="[Output_qry].[Job].&amp;[JSC5526]" c="JSC5526"/>
              <i n="[Output_qry].[Job].&amp;[JSC5527]" c="JSC5527"/>
              <i n="[Output_qry].[Job].&amp;[JSC5632]" c="JSC5632"/>
              <i n="[Output_qry].[Job].&amp;[JSC5892]" c="JSC5892"/>
              <i n="[Output_qry].[Job].&amp;[JSC5893]" c="JSC5893"/>
              <i n="[Output_qry].[Job].&amp;[JSC6065]" c="JSC6065"/>
              <i n="[Output_qry].[Job].&amp;[JSC6066]" c="JSC6066"/>
              <i n="[Output_qry].[Job].&amp;[JSC6157]" c="JSC6157"/>
              <i n="[Output_qry].[Job].&amp;[JSC6158]" c="JSC6158"/>
              <i n="[Output_qry].[Job].&amp;[JSC6254]" c="JSC6254"/>
              <i n="[Output_qry].[Job].&amp;[JSC6255]" c="JSC6255"/>
              <i n="[Output_qry].[Job].&amp;[JSC6332]" c="JSC6332"/>
              <i n="[Output_qry].[Job].&amp;[JSC6333]" c="JSC6333"/>
              <i n="[Output_qry].[Job].&amp;[JSC6445]" c="JSC6445"/>
              <i n="[Output_qry].[Job].&amp;[JSC6533]" c="JSC6533"/>
              <i n="[Output_qry].[Job].&amp;[JSC6715]" c="JSC6715"/>
              <i n="[Output_qry].[Job].&amp;[JSC6761]" c="JSC6761"/>
              <i n="[Output_qry].[Job].&amp;[JSC6762]" c="JSC6762"/>
              <i n="[Output_qry].[Job].&amp;[JSC6784]" c="JSC6784"/>
              <i n="[Output_qry].[Job].&amp;[JSC6785]" c="JSC6785"/>
              <i n="[Output_qry].[Job].&amp;[JSC6816]" c="JSC6816"/>
              <i n="[Output_qry].[Job].&amp;[KX143148]" c="KX143148"/>
              <i n="[Output_qry].[Job].&amp;[KX143149]" c="KX143149"/>
              <i n="[Output_qry].[Job].&amp;[KX143213]" c="KX143213"/>
              <i n="[Output_qry].[Job].&amp;[KX143214]" c="KX143214"/>
              <i n="[Output_qry].[Job].&amp;[KX143295]" c="KX143295"/>
              <i n="[Output_qry].[Job].&amp;[KX143324]" c="KX143324"/>
              <i n="[Output_qry].[Job].&amp;[KX143357]" c="KX143357"/>
              <i n="[Output_qry].[Job].&amp;[KX143373]" c="KX143373"/>
              <i n="[Output_qry].[Job].&amp;[KX143374]" c="KX143374"/>
              <i n="[Output_qry].[Job].&amp;[KX143375]" c="KX143375"/>
              <i n="[Output_qry].[Job].&amp;[KX143447]" c="KX143447"/>
              <i n="[Output_qry].[Job].&amp;[KX143618]" c="KX143618"/>
              <i n="[Output_qry].[Job].&amp;[KX143619]" c="KX143619"/>
              <i n="[Output_qry].[Job].&amp;[KX143645]" c="KX143645"/>
              <i n="[Output_qry].[Job].&amp;[KX143646]" c="KX143646"/>
              <i n="[Output_qry].[Job].&amp;[KX143647]" c="KX143647"/>
              <i n="[Output_qry].[Job].&amp;[KX143925]" c="KX143925"/>
              <i n="[Output_qry].[Job].&amp;[KX143926]" c="KX143926"/>
              <i n="[Output_qry].[Job].&amp;[KX143927]" c="KX143927"/>
              <i n="[Output_qry].[Job].&amp;[KX144071]" c="KX144071"/>
              <i n="[Output_qry].[Job].&amp;[KX144072]" c="KX144072"/>
              <i n="[Output_qry].[Job].&amp;[KX144073]" c="KX144073"/>
              <i n="[Output_qry].[Job].&amp;[KX144314]" c="KX144314"/>
              <i n="[Output_qry].[Job].&amp;[KX144315]" c="KX144315"/>
              <i n="[Output_qry].[Job].&amp;[KX144316]" c="KX144316"/>
              <i n="[Output_qry].[Job].&amp;[KX144317]" c="KX144317"/>
              <i n="[Output_qry].[Job].&amp;[KX144464]" c="KX144464"/>
              <i n="[Output_qry].[Job].&amp;[KX144465]" c="KX144465"/>
              <i n="[Output_qry].[Job].&amp;[KX144466]" c="KX144466"/>
              <i n="[Output_qry].[Job].&amp;[KX144622]" c="KX144622"/>
              <i n="[Output_qry].[Job].&amp;[KX144623]" c="KX144623"/>
              <i n="[Output_qry].[Job].&amp;[KX144764]" c="KX144764"/>
              <i n="[Output_qry].[Job].&amp;[KX144765]" c="KX144765"/>
              <i n="[Output_qry].[Job].&amp;[KX144819]" c="KX144819"/>
              <i n="[Output_qry].[Job].&amp;[KX144820]" c="KX144820"/>
              <i n="[Output_qry].[Job].&amp;[KX144821]" c="KX144821"/>
              <i n="[Output_qry].[Job].&amp;[KX144822]" c="KX144822"/>
              <i n="[Output_qry].[Job].&amp;[KX144898]" c="KX144898"/>
              <i n="[Output_qry].[Job].&amp;[KX144899]" c="KX144899"/>
              <i n="[Output_qry].[Job].&amp;[KX144962]" c="KX144962"/>
              <i n="[Output_qry].[Job].&amp;[KXHX10]" c="KXHX10"/>
            </range>
          </ranges>
        </level>
      </levels>
      <selections count="1">
        <selection n="[Output_qry].[Job].[All]"/>
      </selections>
    </olap>
  </data>
  <extLst>
    <x:ext xmlns:x15="http://schemas.microsoft.com/office/spreadsheetml/2010/11/main" uri="{03082B11-2C62-411c-B77F-237D8FCFBE4C}">
      <x15:slicerCachePivotTables>
        <pivotTable tabId="4294967295" name="PivotChartTable2"/>
      </x15:slicerCachePivotTables>
    </x:ext>
    <x:ext xmlns:x15="http://schemas.microsoft.com/office/spreadsheetml/2010/11/main" uri="{470722E0-AACD-4C17-9CDC-17EF765DBC7E}">
      <x15:slicerCacheHideItemsWithNoData count="1">
        <x15:slicerCacheOlapLevelName uniqueName="[Output_qry].[Job].[Job]"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ate (Plan) (Year)" cache="Slicer_Date__Plan___Year" caption="Date (Plan) (Year)" level="1" rowHeight="241300"/>
  <slicer name="Date (Plan) (Quarter)" cache="Slicer_Date__Plan___Quarter" caption="Date (Plan) (Quarter)" level="1" rowHeight="241300"/>
  <slicer name="Date (Plan) (Month)" cache="Slicer_Date__Plan___Month" caption="Date (Plan) (Month)" level="1" rowHeight="241300"/>
  <slicer name="Week (Out by)" cache="Slicer_Week__Out_by" caption="Week (Out by)" level="1" rowHeight="241300"/>
  <slicer name="Job" cache="Slicer_Job" caption="Job" startItem="59" level="1" rowHeight="241300"/>
</slicers>
</file>

<file path=xl/tables/table1.xml><?xml version="1.0" encoding="utf-8"?>
<table xmlns="http://schemas.openxmlformats.org/spreadsheetml/2006/main" id="1" name="Output_Table" displayName="Output_Table" ref="A3:S110" totalsRowShown="0" headerRowDxfId="30" dataDxfId="29">
  <autoFilter ref="A3:S110"/>
  <sortState ref="A4:S110">
    <sortCondition ref="R4:R110"/>
    <sortCondition ref="Q4:Q110" customList="January,February,March,April,May,June,July,August,September,October,November,December"/>
  </sortState>
  <tableColumns count="19">
    <tableColumn id="1" name="Job" dataDxfId="28"/>
    <tableColumn id="7" name="Booked in" dataDxfId="27"/>
    <tableColumn id="2" name="Batch" dataDxfId="26"/>
    <tableColumn id="5" name="Shortages" dataDxfId="25"/>
    <tableColumn id="9" name="Short of…" dataDxfId="24"/>
    <tableColumn id="10" name="Shortage filled" dataDxfId="23"/>
    <tableColumn id="4" name="Progress" dataDxfId="22"/>
    <tableColumn id="15" name="% done" dataDxfId="21">
      <calculatedColumnFormula>_xlfn.IFNA(VLOOKUP(Output_Table[[#This Row],[Progress]],ProgressCalculation_List,6,FALSE),"")</calculatedColumnFormula>
    </tableColumn>
    <tableColumn id="23" name="Operator" dataDxfId="20"/>
    <tableColumn id="13" name="Out by" dataDxfId="19"/>
    <tableColumn id="8" name="Out qty" dataDxfId="18"/>
    <tableColumn id="14" name="Fail reason" dataDxfId="17"/>
    <tableColumn id="11" name="RTV (in)" dataDxfId="16"/>
    <tableColumn id="6" name="Note" dataDxfId="15"/>
    <tableColumn id="17" name="In stock (month begins)" dataDxfId="14"/>
    <tableColumn id="18" name="Month (plan) Quantity" dataDxfId="13"/>
    <tableColumn id="3" name="Month (Plan)" dataDxfId="12"/>
    <tableColumn id="19" name="Year (Plan)" dataDxfId="11"/>
    <tableColumn id="12" name="Month number (Plan)" dataDxfId="10">
      <calculatedColumnFormula>TEXT(_xlfn.IFNA(VLOOKUP(Output_Table[[#This Row],[Month (Plan)]],OutupMonth_Table[#All],2,FALSE),""),"00")</calculatedColumnFormula>
    </tableColumn>
  </tableColumns>
  <tableStyleInfo name="TableStyleLight16" showFirstColumn="0" showLastColumn="0" showRowStripes="1" showColumnStripes="0"/>
</table>
</file>

<file path=xl/tables/table2.xml><?xml version="1.0" encoding="utf-8"?>
<table xmlns="http://schemas.openxmlformats.org/spreadsheetml/2006/main" id="3" name="Operator_Table" displayName="Operator_Table" ref="H1:H5" totalsRowShown="0" headerRowDxfId="9" dataDxfId="8" tableBorderDxfId="7" dataCellStyle="Percent">
  <tableColumns count="1">
    <tableColumn id="1" name="Operator" dataDxfId="6" dataCellStyle="Percent"/>
  </tableColumns>
  <tableStyleInfo name="TableStyleMedium2" showFirstColumn="0" showLastColumn="0" showRowStripes="1" showColumnStripes="0"/>
</table>
</file>

<file path=xl/tables/table3.xml><?xml version="1.0" encoding="utf-8"?>
<table xmlns="http://schemas.openxmlformats.org/spreadsheetml/2006/main" id="4" name="Shortages_Table" displayName="Shortages_Table" ref="J1:J4" totalsRowShown="0" headerRowBorderDxfId="5" tableBorderDxfId="4">
  <tableColumns count="1">
    <tableColumn id="1" name="Shortages"/>
  </tableColumns>
  <tableStyleInfo name="TableStyleMedium2" showFirstColumn="0" showLastColumn="0" showRowStripes="1" showColumnStripes="0"/>
</table>
</file>

<file path=xl/tables/table4.xml><?xml version="1.0" encoding="utf-8"?>
<table xmlns="http://schemas.openxmlformats.org/spreadsheetml/2006/main" id="5" name="Years_Table" displayName="Years_Table" ref="J7:J12" totalsRowShown="0" dataDxfId="3" tableBorderDxfId="2">
  <tableColumns count="1">
    <tableColumn id="1" name="Year" dataDxfId="1"/>
  </tableColumns>
  <tableStyleInfo name="TableStyleMedium2" showFirstColumn="0" showLastColumn="0" showRowStripes="1" showColumnStripes="0"/>
</table>
</file>

<file path=xl/tables/table5.xml><?xml version="1.0" encoding="utf-8"?>
<table xmlns="http://schemas.openxmlformats.org/spreadsheetml/2006/main" id="6" name="OutupMonth_Table" displayName="OutupMonth_Table" ref="M1:N14" totalsRowShown="0" headerRowBorderDxfId="0" dataCellStyle="Accent5">
  <tableColumns count="2">
    <tableColumn id="1" name="Output months" dataCellStyle="Accent5"/>
    <tableColumn id="2" name="Output month no" dataCellStyle="Accent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name="Timeline_Out_by1" sourceName="[Output_qry].[Out by]">
  <pivotTables>
    <pivotTable tabId="11" name="PlanAndDelivery_Pivot"/>
    <pivotTable tabId="4294967295" name="PivotChartTable2"/>
  </pivotTables>
  <state minimalRefreshVersion="6" lastRefreshVersion="6" pivotCacheId="844578105" filterType="unknown">
    <bounds startDate="2017-01-01T00:00:00" endDate="2020-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Out by 1" cache="Timeline_Out_by1" caption="Out by" level="1" selectionLevel="1" scrollPosition="2017-01-01T00:00:00"/>
</timeline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D46814%20-%20How%20to%20use.doc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5" Type="http://schemas.microsoft.com/office/2011/relationships/timeline" Target="../timelines/timelin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S110"/>
  <sheetViews>
    <sheetView zoomScale="80" zoomScaleNormal="80" zoomScaleSheetLayoutView="50" workbookViewId="0">
      <pane xSplit="1" ySplit="3" topLeftCell="E4" activePane="bottomRight" state="frozen"/>
      <selection pane="topRight" activeCell="B1" sqref="B1"/>
      <selection pane="bottomLeft" activeCell="A3" sqref="A3"/>
      <selection pane="bottomRight" activeCell="E10" sqref="E10"/>
    </sheetView>
  </sheetViews>
  <sheetFormatPr defaultRowHeight="15" x14ac:dyDescent="0.25"/>
  <cols>
    <col min="1" max="1" width="12.5703125" bestFit="1" customWidth="1"/>
    <col min="2" max="2" width="17" bestFit="1" customWidth="1"/>
    <col min="3" max="3" width="10.7109375" customWidth="1"/>
    <col min="4" max="4" width="16.7109375" bestFit="1" customWidth="1"/>
    <col min="5" max="5" width="34.7109375" customWidth="1"/>
    <col min="6" max="6" width="18.85546875" customWidth="1"/>
    <col min="7" max="7" width="25.140625" bestFit="1" customWidth="1"/>
    <col min="8" max="8" width="12.28515625" bestFit="1" customWidth="1"/>
    <col min="9" max="9" width="14.140625" bestFit="1" customWidth="1"/>
    <col min="10" max="10" width="13.42578125" customWidth="1"/>
    <col min="11" max="11" width="12.28515625" bestFit="1" customWidth="1"/>
    <col min="12" max="12" width="27.85546875" bestFit="1" customWidth="1"/>
    <col min="13" max="13" width="17.140625" bestFit="1" customWidth="1"/>
    <col min="14" max="14" width="32.5703125" customWidth="1"/>
    <col min="15" max="15" width="11.7109375" customWidth="1"/>
    <col min="16" max="16" width="13.7109375" customWidth="1"/>
    <col min="17" max="18" width="10.7109375" customWidth="1"/>
  </cols>
  <sheetData>
    <row r="1" spans="1:19" ht="36" x14ac:dyDescent="0.55000000000000004">
      <c r="A1" s="149" t="s">
        <v>206</v>
      </c>
      <c r="B1" s="149"/>
      <c r="C1" s="149"/>
      <c r="D1" s="149"/>
      <c r="E1" s="149"/>
      <c r="F1" s="149"/>
      <c r="G1" s="149"/>
      <c r="H1" s="149"/>
      <c r="I1" s="149"/>
      <c r="J1" s="149"/>
      <c r="K1" s="149"/>
      <c r="L1" s="149"/>
      <c r="M1" s="149"/>
      <c r="N1" s="124" t="s">
        <v>331</v>
      </c>
      <c r="O1" s="107" t="s">
        <v>303</v>
      </c>
      <c r="P1" s="106"/>
      <c r="Q1" s="106"/>
      <c r="R1" s="106"/>
    </row>
    <row r="2" spans="1:19" ht="44.25" customHeight="1" x14ac:dyDescent="0.4">
      <c r="A2" s="123"/>
      <c r="B2" s="61"/>
      <c r="C2" s="59"/>
      <c r="D2" s="59"/>
      <c r="E2" s="59"/>
      <c r="F2" s="59"/>
      <c r="G2" s="60"/>
      <c r="H2" s="146" t="s">
        <v>235</v>
      </c>
      <c r="I2" s="147"/>
      <c r="J2" s="147"/>
      <c r="K2" s="148"/>
      <c r="L2" s="63" t="s">
        <v>199</v>
      </c>
      <c r="M2" s="64">
        <f>SUM(Output_Table[Out qty])</f>
        <v>786</v>
      </c>
      <c r="N2" s="64"/>
      <c r="O2" s="143" t="s">
        <v>304</v>
      </c>
      <c r="P2" s="144"/>
      <c r="Q2" s="144"/>
      <c r="R2" s="145"/>
    </row>
    <row r="3" spans="1:19" ht="56.25" x14ac:dyDescent="0.3">
      <c r="A3" s="66" t="s">
        <v>7</v>
      </c>
      <c r="B3" s="2" t="s">
        <v>9</v>
      </c>
      <c r="C3" s="1" t="s">
        <v>1</v>
      </c>
      <c r="D3" s="1" t="s">
        <v>3</v>
      </c>
      <c r="E3" s="2" t="s">
        <v>12</v>
      </c>
      <c r="F3" s="46" t="s">
        <v>165</v>
      </c>
      <c r="G3" s="1" t="s">
        <v>2</v>
      </c>
      <c r="H3" s="52" t="s">
        <v>31</v>
      </c>
      <c r="I3" s="65" t="s">
        <v>215</v>
      </c>
      <c r="J3" s="65" t="s">
        <v>27</v>
      </c>
      <c r="K3" s="66" t="s">
        <v>10</v>
      </c>
      <c r="L3" s="1" t="s">
        <v>74</v>
      </c>
      <c r="M3" s="1" t="s">
        <v>29</v>
      </c>
      <c r="N3" s="2" t="s">
        <v>6</v>
      </c>
      <c r="O3" s="55" t="s">
        <v>244</v>
      </c>
      <c r="P3" s="56" t="s">
        <v>350</v>
      </c>
      <c r="Q3" s="56" t="s">
        <v>349</v>
      </c>
      <c r="R3" s="57" t="s">
        <v>351</v>
      </c>
      <c r="S3" s="128" t="s">
        <v>352</v>
      </c>
    </row>
    <row r="4" spans="1:19" ht="15" customHeight="1" x14ac:dyDescent="0.25">
      <c r="A4" s="67" t="s">
        <v>105</v>
      </c>
      <c r="B4" s="40">
        <v>42935</v>
      </c>
      <c r="C4" s="32">
        <v>8</v>
      </c>
      <c r="D4" s="32" t="s">
        <v>5</v>
      </c>
      <c r="E4" s="32"/>
      <c r="F4" s="32"/>
      <c r="G4" s="32" t="s">
        <v>42</v>
      </c>
      <c r="H4" s="75">
        <f>_xlfn.IFNA(VLOOKUP(Output_Table[[#This Row],[Progress]],ProgressCalculation_List,6,FALSE),"")</f>
        <v>1.0000000000000002</v>
      </c>
      <c r="I4" s="76"/>
      <c r="J4" s="78">
        <v>42946</v>
      </c>
      <c r="K4" s="79">
        <v>8</v>
      </c>
      <c r="L4" s="81"/>
      <c r="M4" s="32"/>
      <c r="N4" s="29"/>
      <c r="O4" s="54">
        <v>0</v>
      </c>
      <c r="P4" s="29">
        <v>0</v>
      </c>
      <c r="Q4" s="29" t="s">
        <v>96</v>
      </c>
      <c r="R4" s="62">
        <v>2017</v>
      </c>
      <c r="S4" s="32" t="str">
        <f>TEXT(_xlfn.IFNA(VLOOKUP(Output_Table[[#This Row],[Month (Plan)]],OutupMonth_Table[#All],2,FALSE),""),"00")</f>
        <v>07</v>
      </c>
    </row>
    <row r="5" spans="1:19" ht="15" customHeight="1" x14ac:dyDescent="0.25">
      <c r="A5" s="67" t="s">
        <v>107</v>
      </c>
      <c r="B5" s="40">
        <v>42934</v>
      </c>
      <c r="C5" s="32">
        <v>8</v>
      </c>
      <c r="D5" s="32" t="s">
        <v>5</v>
      </c>
      <c r="E5" s="32"/>
      <c r="F5" s="32"/>
      <c r="G5" s="32" t="s">
        <v>42</v>
      </c>
      <c r="H5" s="75">
        <f>_xlfn.IFNA(VLOOKUP(Output_Table[[#This Row],[Progress]],ProgressCalculation_List,6,FALSE),"")</f>
        <v>1.0000000000000002</v>
      </c>
      <c r="I5" s="76"/>
      <c r="J5" s="78">
        <v>42946</v>
      </c>
      <c r="K5" s="79">
        <v>8</v>
      </c>
      <c r="L5" s="81"/>
      <c r="M5" s="32"/>
      <c r="N5" s="29"/>
      <c r="O5" s="54"/>
      <c r="P5" s="29"/>
      <c r="Q5" s="29" t="s">
        <v>96</v>
      </c>
      <c r="R5" s="53">
        <v>2017</v>
      </c>
      <c r="S5" s="32" t="str">
        <f>TEXT(_xlfn.IFNA(VLOOKUP(Output_Table[[#This Row],[Month (Plan)]],OutupMonth_Table[#All],2,FALSE),""),"00")</f>
        <v>07</v>
      </c>
    </row>
    <row r="6" spans="1:19" ht="15" customHeight="1" x14ac:dyDescent="0.25">
      <c r="A6" s="67" t="s">
        <v>8</v>
      </c>
      <c r="B6" s="40">
        <v>42934</v>
      </c>
      <c r="C6" s="32">
        <v>8</v>
      </c>
      <c r="D6" s="32" t="s">
        <v>5</v>
      </c>
      <c r="E6" s="32"/>
      <c r="F6" s="32"/>
      <c r="G6" s="32" t="s">
        <v>42</v>
      </c>
      <c r="H6" s="75">
        <f>_xlfn.IFNA(VLOOKUP(Output_Table[[#This Row],[Progress]],ProgressCalculation_List,6,FALSE),"")</f>
        <v>1.0000000000000002</v>
      </c>
      <c r="I6" s="76"/>
      <c r="J6" s="78">
        <v>42946</v>
      </c>
      <c r="K6" s="79">
        <v>8</v>
      </c>
      <c r="L6" s="81"/>
      <c r="M6" s="32"/>
      <c r="N6" s="140"/>
      <c r="O6" s="54"/>
      <c r="P6" s="29"/>
      <c r="Q6" s="29" t="s">
        <v>96</v>
      </c>
      <c r="R6" s="53">
        <v>2017</v>
      </c>
      <c r="S6" s="32" t="str">
        <f>TEXT(_xlfn.IFNA(VLOOKUP(Output_Table[[#This Row],[Month (Plan)]],OutupMonth_Table[#All],2,FALSE),""),"00")</f>
        <v>07</v>
      </c>
    </row>
    <row r="7" spans="1:19" ht="15" customHeight="1" x14ac:dyDescent="0.25">
      <c r="A7" s="67" t="s">
        <v>108</v>
      </c>
      <c r="B7" s="40">
        <v>42933</v>
      </c>
      <c r="C7" s="32">
        <v>8</v>
      </c>
      <c r="D7" s="32" t="s">
        <v>5</v>
      </c>
      <c r="E7" s="32"/>
      <c r="F7" s="32"/>
      <c r="G7" s="32" t="s">
        <v>42</v>
      </c>
      <c r="H7" s="75">
        <f>_xlfn.IFNA(VLOOKUP(Output_Table[[#This Row],[Progress]],ProgressCalculation_List,6,FALSE),"")</f>
        <v>1.0000000000000002</v>
      </c>
      <c r="I7" s="76"/>
      <c r="J7" s="78">
        <v>42946</v>
      </c>
      <c r="K7" s="79">
        <v>8</v>
      </c>
      <c r="L7" s="81"/>
      <c r="M7" s="32"/>
      <c r="N7" s="29"/>
      <c r="O7" s="54"/>
      <c r="P7" s="29"/>
      <c r="Q7" s="29" t="s">
        <v>96</v>
      </c>
      <c r="R7" s="53">
        <v>2017</v>
      </c>
      <c r="S7" s="32" t="str">
        <f>TEXT(_xlfn.IFNA(VLOOKUP(Output_Table[[#This Row],[Month (Plan)]],OutupMonth_Table[#All],2,FALSE),""),"00")</f>
        <v>07</v>
      </c>
    </row>
    <row r="8" spans="1:19" ht="15" customHeight="1" x14ac:dyDescent="0.25">
      <c r="A8" s="67" t="s">
        <v>109</v>
      </c>
      <c r="B8" s="40">
        <v>42933</v>
      </c>
      <c r="C8" s="32">
        <v>8</v>
      </c>
      <c r="D8" s="32" t="s">
        <v>5</v>
      </c>
      <c r="E8" s="32"/>
      <c r="F8" s="32"/>
      <c r="G8" s="32" t="s">
        <v>42</v>
      </c>
      <c r="H8" s="75">
        <f>_xlfn.IFNA(VLOOKUP(Output_Table[[#This Row],[Progress]],ProgressCalculation_List,6,FALSE),"")</f>
        <v>1.0000000000000002</v>
      </c>
      <c r="I8" s="76"/>
      <c r="J8" s="78">
        <v>42946</v>
      </c>
      <c r="K8" s="79">
        <v>7</v>
      </c>
      <c r="L8" s="82" t="s">
        <v>201</v>
      </c>
      <c r="M8" s="32"/>
      <c r="N8" s="29"/>
      <c r="O8" s="54"/>
      <c r="P8" s="29"/>
      <c r="Q8" s="29" t="s">
        <v>96</v>
      </c>
      <c r="R8" s="53">
        <v>2017</v>
      </c>
      <c r="S8" s="32" t="str">
        <f>TEXT(_xlfn.IFNA(VLOOKUP(Output_Table[[#This Row],[Month (Plan)]],OutupMonth_Table[#All],2,FALSE),""),"00")</f>
        <v>07</v>
      </c>
    </row>
    <row r="9" spans="1:19" ht="15" customHeight="1" x14ac:dyDescent="0.25">
      <c r="A9" s="67" t="s">
        <v>110</v>
      </c>
      <c r="B9" s="40">
        <v>42933</v>
      </c>
      <c r="C9" s="32">
        <v>8</v>
      </c>
      <c r="D9" s="32" t="s">
        <v>5</v>
      </c>
      <c r="E9" s="32"/>
      <c r="F9" s="32"/>
      <c r="G9" s="32" t="s">
        <v>42</v>
      </c>
      <c r="H9" s="75">
        <f>_xlfn.IFNA(VLOOKUP(Output_Table[[#This Row],[Progress]],ProgressCalculation_List,6,FALSE),"")</f>
        <v>1.0000000000000002</v>
      </c>
      <c r="I9" s="76"/>
      <c r="J9" s="78">
        <v>42946</v>
      </c>
      <c r="K9" s="79">
        <v>8</v>
      </c>
      <c r="L9" s="81"/>
      <c r="M9" s="32"/>
      <c r="N9" s="29"/>
      <c r="O9" s="54"/>
      <c r="P9" s="29"/>
      <c r="Q9" s="29" t="s">
        <v>96</v>
      </c>
      <c r="R9" s="53">
        <v>2017</v>
      </c>
      <c r="S9" s="32" t="str">
        <f>TEXT(_xlfn.IFNA(VLOOKUP(Output_Table[[#This Row],[Month (Plan)]],OutupMonth_Table[#All],2,FALSE),""),"00")</f>
        <v>07</v>
      </c>
    </row>
    <row r="10" spans="1:19" x14ac:dyDescent="0.25">
      <c r="A10" s="68" t="s">
        <v>106</v>
      </c>
      <c r="B10" s="42">
        <v>42935</v>
      </c>
      <c r="C10" s="33">
        <v>8</v>
      </c>
      <c r="D10" s="32" t="s">
        <v>5</v>
      </c>
      <c r="E10" s="32" t="s">
        <v>13</v>
      </c>
      <c r="F10" s="43" t="s">
        <v>28</v>
      </c>
      <c r="G10" s="32" t="s">
        <v>42</v>
      </c>
      <c r="H10" s="75">
        <f>_xlfn.IFNA(VLOOKUP(Output_Table[[#This Row],[Progress]],ProgressCalculation_List,6,FALSE),"")</f>
        <v>1.0000000000000002</v>
      </c>
      <c r="I10" s="76"/>
      <c r="J10" s="78">
        <v>42951</v>
      </c>
      <c r="K10" s="79">
        <v>7</v>
      </c>
      <c r="L10" s="81"/>
      <c r="M10" s="32"/>
      <c r="N10" s="129" t="s">
        <v>203</v>
      </c>
      <c r="O10" s="29"/>
      <c r="P10" s="29"/>
      <c r="Q10" s="29" t="s">
        <v>96</v>
      </c>
      <c r="R10" s="53">
        <v>2017</v>
      </c>
      <c r="S10" s="32" t="str">
        <f>TEXT(_xlfn.IFNA(VLOOKUP(Output_Table[[#This Row],[Month (Plan)]],OutupMonth_Table[#All],2,FALSE),""),"00")</f>
        <v>07</v>
      </c>
    </row>
    <row r="11" spans="1:19" x14ac:dyDescent="0.25">
      <c r="A11" s="69" t="s">
        <v>111</v>
      </c>
      <c r="B11" s="43">
        <v>42936</v>
      </c>
      <c r="C11" s="34">
        <v>8</v>
      </c>
      <c r="D11" s="32" t="s">
        <v>5</v>
      </c>
      <c r="E11" s="32" t="s">
        <v>13</v>
      </c>
      <c r="F11" s="43" t="s">
        <v>28</v>
      </c>
      <c r="G11" s="32" t="s">
        <v>42</v>
      </c>
      <c r="H11" s="75">
        <f>_xlfn.IFNA(VLOOKUP(Output_Table[[#This Row],[Progress]],ProgressCalculation_List,6,FALSE),"")</f>
        <v>1.0000000000000002</v>
      </c>
      <c r="I11" s="76"/>
      <c r="J11" s="78">
        <v>42958</v>
      </c>
      <c r="K11" s="79">
        <v>7</v>
      </c>
      <c r="L11" s="81"/>
      <c r="M11" s="44">
        <v>42940.489583333336</v>
      </c>
      <c r="N11" s="130" t="s">
        <v>203</v>
      </c>
      <c r="O11" s="29">
        <v>0</v>
      </c>
      <c r="P11" s="29">
        <v>0</v>
      </c>
      <c r="Q11" s="29" t="s">
        <v>97</v>
      </c>
      <c r="R11" s="53">
        <v>2017</v>
      </c>
      <c r="S11" s="32" t="str">
        <f>TEXT(_xlfn.IFNA(VLOOKUP(Output_Table[[#This Row],[Month (Plan)]],OutupMonth_Table[#All],2,FALSE),""),"00")</f>
        <v>08</v>
      </c>
    </row>
    <row r="12" spans="1:19" x14ac:dyDescent="0.25">
      <c r="A12" s="69" t="s">
        <v>111</v>
      </c>
      <c r="B12" s="43">
        <v>42936</v>
      </c>
      <c r="C12" s="34">
        <v>8</v>
      </c>
      <c r="D12" s="32" t="s">
        <v>5</v>
      </c>
      <c r="E12" s="32"/>
      <c r="F12" s="34"/>
      <c r="G12" s="32" t="s">
        <v>42</v>
      </c>
      <c r="H12" s="75">
        <f>_xlfn.IFNA(VLOOKUP(Output_Table[[#This Row],[Progress]],ProgressCalculation_List,6,FALSE),"")</f>
        <v>1.0000000000000002</v>
      </c>
      <c r="I12" s="76"/>
      <c r="J12" s="78">
        <v>42958</v>
      </c>
      <c r="K12" s="79">
        <v>1</v>
      </c>
      <c r="L12" s="81"/>
      <c r="M12" s="44">
        <v>42948.395833333336</v>
      </c>
      <c r="N12" s="130" t="s">
        <v>203</v>
      </c>
      <c r="O12" s="29"/>
      <c r="P12" s="29"/>
      <c r="Q12" s="29" t="s">
        <v>97</v>
      </c>
      <c r="R12" s="53">
        <v>2017</v>
      </c>
      <c r="S12" s="32" t="str">
        <f>TEXT(_xlfn.IFNA(VLOOKUP(Output_Table[[#This Row],[Month (Plan)]],OutupMonth_Table[#All],2,FALSE),""),"00")</f>
        <v>08</v>
      </c>
    </row>
    <row r="13" spans="1:19" x14ac:dyDescent="0.25">
      <c r="A13" s="67" t="s">
        <v>112</v>
      </c>
      <c r="B13" s="40">
        <v>42936</v>
      </c>
      <c r="C13" s="32">
        <v>8</v>
      </c>
      <c r="D13" s="32" t="s">
        <v>5</v>
      </c>
      <c r="E13" s="32"/>
      <c r="F13" s="32"/>
      <c r="G13" s="32" t="s">
        <v>42</v>
      </c>
      <c r="H13" s="75">
        <f>_xlfn.IFNA(VLOOKUP(Output_Table[[#This Row],[Progress]],ProgressCalculation_List,6,FALSE),"")</f>
        <v>1.0000000000000002</v>
      </c>
      <c r="I13" s="76"/>
      <c r="J13" s="78">
        <v>42958</v>
      </c>
      <c r="K13" s="79">
        <v>8</v>
      </c>
      <c r="L13" s="81"/>
      <c r="M13" s="44">
        <v>42941.65625</v>
      </c>
      <c r="N13" s="53"/>
      <c r="O13" s="29"/>
      <c r="P13" s="29"/>
      <c r="Q13" s="29" t="s">
        <v>97</v>
      </c>
      <c r="R13" s="53">
        <v>2017</v>
      </c>
      <c r="S13" s="32" t="str">
        <f>TEXT(_xlfn.IFNA(VLOOKUP(Output_Table[[#This Row],[Month (Plan)]],OutupMonth_Table[#All],2,FALSE),""),"00")</f>
        <v>08</v>
      </c>
    </row>
    <row r="14" spans="1:19" x14ac:dyDescent="0.25">
      <c r="A14" s="68" t="s">
        <v>106</v>
      </c>
      <c r="B14" s="42">
        <v>42935</v>
      </c>
      <c r="C14" s="33">
        <v>8</v>
      </c>
      <c r="D14" s="32" t="s">
        <v>5</v>
      </c>
      <c r="E14" s="32"/>
      <c r="F14" s="33"/>
      <c r="G14" s="32" t="s">
        <v>43</v>
      </c>
      <c r="H14" s="75">
        <f>_xlfn.IFNA(VLOOKUP(Output_Table[[#This Row],[Progress]],ProgressCalculation_List,6,FALSE),"")</f>
        <v>1.0000000000000002</v>
      </c>
      <c r="I14" s="76"/>
      <c r="J14" s="78">
        <v>42965</v>
      </c>
      <c r="K14" s="79">
        <v>0</v>
      </c>
      <c r="L14" s="81" t="s">
        <v>200</v>
      </c>
      <c r="M14" s="44">
        <v>42948.395833333336</v>
      </c>
      <c r="N14" s="129" t="s">
        <v>203</v>
      </c>
      <c r="O14" s="29"/>
      <c r="P14" s="29"/>
      <c r="Q14" s="29" t="s">
        <v>97</v>
      </c>
      <c r="R14" s="53">
        <v>2017</v>
      </c>
      <c r="S14" s="32" t="str">
        <f>TEXT(_xlfn.IFNA(VLOOKUP(Output_Table[[#This Row],[Month (Plan)]],OutupMonth_Table[#All],2,FALSE),""),"00")</f>
        <v>08</v>
      </c>
    </row>
    <row r="15" spans="1:19" x14ac:dyDescent="0.25">
      <c r="A15" s="67" t="s">
        <v>113</v>
      </c>
      <c r="B15" s="40">
        <v>42940</v>
      </c>
      <c r="C15" s="32">
        <v>8</v>
      </c>
      <c r="D15" s="32" t="s">
        <v>5</v>
      </c>
      <c r="E15" s="32"/>
      <c r="F15" s="32"/>
      <c r="G15" s="32" t="s">
        <v>42</v>
      </c>
      <c r="H15" s="75">
        <f>_xlfn.IFNA(VLOOKUP(Output_Table[[#This Row],[Progress]],ProgressCalculation_List,6,FALSE),"")</f>
        <v>1.0000000000000002</v>
      </c>
      <c r="I15" s="76"/>
      <c r="J15" s="78">
        <v>42978</v>
      </c>
      <c r="K15" s="79">
        <v>8</v>
      </c>
      <c r="L15" s="81"/>
      <c r="M15" s="44">
        <v>42947.53125</v>
      </c>
      <c r="N15" s="53"/>
      <c r="O15" s="29"/>
      <c r="P15" s="29"/>
      <c r="Q15" s="29" t="s">
        <v>97</v>
      </c>
      <c r="R15" s="53">
        <v>2017</v>
      </c>
      <c r="S15" s="32" t="str">
        <f>TEXT(_xlfn.IFNA(VLOOKUP(Output_Table[[#This Row],[Month (Plan)]],OutupMonth_Table[#All],2,FALSE),""),"00")</f>
        <v>08</v>
      </c>
    </row>
    <row r="16" spans="1:19" ht="30" x14ac:dyDescent="0.25">
      <c r="A16" s="67" t="s">
        <v>114</v>
      </c>
      <c r="B16" s="40">
        <v>42941</v>
      </c>
      <c r="C16" s="32">
        <v>16</v>
      </c>
      <c r="D16" s="32" t="s">
        <v>5</v>
      </c>
      <c r="E16" s="32" t="s">
        <v>11</v>
      </c>
      <c r="F16" s="40">
        <v>42947</v>
      </c>
      <c r="G16" s="32" t="s">
        <v>42</v>
      </c>
      <c r="H16" s="75">
        <f>_xlfn.IFNA(VLOOKUP(Output_Table[[#This Row],[Progress]],ProgressCalculation_List,6,FALSE),"")</f>
        <v>1.0000000000000002</v>
      </c>
      <c r="I16" s="76"/>
      <c r="J16" s="78">
        <v>42972</v>
      </c>
      <c r="K16" s="79">
        <v>15</v>
      </c>
      <c r="L16" s="81" t="s">
        <v>200</v>
      </c>
      <c r="M16" s="44">
        <v>42954.541666666664</v>
      </c>
      <c r="N16" s="131" t="s">
        <v>202</v>
      </c>
      <c r="O16" s="29"/>
      <c r="P16" s="29"/>
      <c r="Q16" s="29" t="s">
        <v>97</v>
      </c>
      <c r="R16" s="53">
        <v>2017</v>
      </c>
      <c r="S16" s="32" t="str">
        <f>TEXT(_xlfn.IFNA(VLOOKUP(Output_Table[[#This Row],[Month (Plan)]],OutupMonth_Table[#All],2,FALSE),""),"00")</f>
        <v>08</v>
      </c>
    </row>
    <row r="17" spans="1:19" ht="45" x14ac:dyDescent="0.25">
      <c r="A17" s="67" t="s">
        <v>115</v>
      </c>
      <c r="B17" s="40">
        <v>42951</v>
      </c>
      <c r="C17" s="32">
        <v>8</v>
      </c>
      <c r="D17" s="32" t="s">
        <v>5</v>
      </c>
      <c r="E17" s="32" t="s">
        <v>30</v>
      </c>
      <c r="F17" s="40">
        <v>42958</v>
      </c>
      <c r="G17" s="32" t="s">
        <v>42</v>
      </c>
      <c r="H17" s="75">
        <f>_xlfn.IFNA(VLOOKUP(Output_Table[[#This Row],[Progress]],ProgressCalculation_List,6,FALSE),"")</f>
        <v>1.0000000000000002</v>
      </c>
      <c r="I17" s="76"/>
      <c r="J17" s="78">
        <v>42977</v>
      </c>
      <c r="K17" s="79">
        <v>8</v>
      </c>
      <c r="L17" s="81"/>
      <c r="M17" s="44">
        <v>42958.53125</v>
      </c>
      <c r="N17" s="131" t="s">
        <v>38</v>
      </c>
      <c r="O17" s="29"/>
      <c r="P17" s="29"/>
      <c r="Q17" s="29" t="s">
        <v>97</v>
      </c>
      <c r="R17" s="53">
        <v>2017</v>
      </c>
      <c r="S17" s="32" t="str">
        <f>TEXT(_xlfn.IFNA(VLOOKUP(Output_Table[[#This Row],[Month (Plan)]],OutupMonth_Table[#All],2,FALSE),""),"00")</f>
        <v>08</v>
      </c>
    </row>
    <row r="18" spans="1:19" ht="60" x14ac:dyDescent="0.25">
      <c r="A18" s="67" t="s">
        <v>116</v>
      </c>
      <c r="B18" s="40">
        <v>42954</v>
      </c>
      <c r="C18" s="32">
        <v>8</v>
      </c>
      <c r="D18" s="32" t="s">
        <v>5</v>
      </c>
      <c r="E18" s="32"/>
      <c r="F18" s="32"/>
      <c r="G18" s="32" t="s">
        <v>42</v>
      </c>
      <c r="H18" s="75">
        <f>_xlfn.IFNA(VLOOKUP(Output_Table[[#This Row],[Progress]],ProgressCalculation_List,6,FALSE),"")</f>
        <v>1.0000000000000002</v>
      </c>
      <c r="I18" s="76"/>
      <c r="J18" s="78">
        <v>42986</v>
      </c>
      <c r="K18" s="79">
        <v>8</v>
      </c>
      <c r="L18" s="81"/>
      <c r="M18" s="44">
        <v>42968.666666666664</v>
      </c>
      <c r="N18" s="131" t="s">
        <v>48</v>
      </c>
      <c r="O18" s="29">
        <v>0</v>
      </c>
      <c r="P18" s="29">
        <v>0</v>
      </c>
      <c r="Q18" s="29" t="s">
        <v>98</v>
      </c>
      <c r="R18" s="53">
        <v>2017</v>
      </c>
      <c r="S18" s="32" t="str">
        <f>TEXT(_xlfn.IFNA(VLOOKUP(Output_Table[[#This Row],[Month (Plan)]],OutupMonth_Table[#All],2,FALSE),""),"00")</f>
        <v>09</v>
      </c>
    </row>
    <row r="19" spans="1:19" ht="27" customHeight="1" x14ac:dyDescent="0.25">
      <c r="A19" s="67" t="s">
        <v>117</v>
      </c>
      <c r="B19" s="40">
        <v>42958</v>
      </c>
      <c r="C19" s="32">
        <v>8</v>
      </c>
      <c r="D19" s="32" t="s">
        <v>5</v>
      </c>
      <c r="E19" s="32" t="s">
        <v>35</v>
      </c>
      <c r="F19" s="40">
        <v>42968</v>
      </c>
      <c r="G19" s="32" t="s">
        <v>42</v>
      </c>
      <c r="H19" s="75">
        <f>_xlfn.IFNA(VLOOKUP(Output_Table[[#This Row],[Progress]],ProgressCalculation_List,6,FALSE),"")</f>
        <v>1.0000000000000002</v>
      </c>
      <c r="I19" s="76"/>
      <c r="J19" s="78">
        <v>42993</v>
      </c>
      <c r="K19" s="79">
        <v>8</v>
      </c>
      <c r="L19" s="81"/>
      <c r="M19" s="44">
        <v>42979.395833333336</v>
      </c>
      <c r="N19" s="131" t="s">
        <v>45</v>
      </c>
      <c r="O19" s="29"/>
      <c r="P19" s="29"/>
      <c r="Q19" s="29" t="s">
        <v>98</v>
      </c>
      <c r="R19" s="53">
        <v>2017</v>
      </c>
      <c r="S19" s="32" t="str">
        <f>TEXT(_xlfn.IFNA(VLOOKUP(Output_Table[[#This Row],[Month (Plan)]],OutupMonth_Table[#All],2,FALSE),""),"00")</f>
        <v>09</v>
      </c>
    </row>
    <row r="20" spans="1:19" ht="45" x14ac:dyDescent="0.25">
      <c r="A20" s="67" t="s">
        <v>118</v>
      </c>
      <c r="B20" s="51">
        <v>42968</v>
      </c>
      <c r="C20" s="29">
        <v>8</v>
      </c>
      <c r="D20" s="32" t="s">
        <v>5</v>
      </c>
      <c r="E20" s="32"/>
      <c r="F20" s="32"/>
      <c r="G20" s="32" t="s">
        <v>42</v>
      </c>
      <c r="H20" s="75">
        <f>_xlfn.IFNA(VLOOKUP(Output_Table[[#This Row],[Progress]],ProgressCalculation_List,6,FALSE),"")</f>
        <v>1.0000000000000002</v>
      </c>
      <c r="I20" s="76"/>
      <c r="J20" s="78">
        <v>42993</v>
      </c>
      <c r="K20" s="79">
        <v>8</v>
      </c>
      <c r="L20" s="81"/>
      <c r="M20" s="44">
        <v>42978.4375</v>
      </c>
      <c r="N20" s="131" t="s">
        <v>46</v>
      </c>
      <c r="O20" s="29"/>
      <c r="P20" s="29"/>
      <c r="Q20" s="29" t="s">
        <v>98</v>
      </c>
      <c r="R20" s="53">
        <v>2017</v>
      </c>
      <c r="S20" s="32" t="str">
        <f>TEXT(_xlfn.IFNA(VLOOKUP(Output_Table[[#This Row],[Month (Plan)]],OutupMonth_Table[#All],2,FALSE),""),"00")</f>
        <v>09</v>
      </c>
    </row>
    <row r="21" spans="1:19" ht="60" x14ac:dyDescent="0.25">
      <c r="A21" s="67" t="s">
        <v>119</v>
      </c>
      <c r="B21" s="40">
        <v>42968</v>
      </c>
      <c r="C21" s="32">
        <v>8</v>
      </c>
      <c r="D21" s="32" t="s">
        <v>5</v>
      </c>
      <c r="E21" s="32" t="s">
        <v>11</v>
      </c>
      <c r="F21" s="40">
        <v>42968</v>
      </c>
      <c r="G21" s="32" t="s">
        <v>42</v>
      </c>
      <c r="H21" s="75">
        <f>_xlfn.IFNA(VLOOKUP(Output_Table[[#This Row],[Progress]],ProgressCalculation_List,6,FALSE),"")</f>
        <v>1.0000000000000002</v>
      </c>
      <c r="I21" s="76"/>
      <c r="J21" s="78">
        <v>43000</v>
      </c>
      <c r="K21" s="79">
        <v>8</v>
      </c>
      <c r="L21" s="81"/>
      <c r="M21" s="44">
        <v>42982.427083333336</v>
      </c>
      <c r="N21" s="131" t="s">
        <v>47</v>
      </c>
      <c r="O21" s="29"/>
      <c r="P21" s="29"/>
      <c r="Q21" s="29" t="s">
        <v>98</v>
      </c>
      <c r="R21" s="53">
        <v>2017</v>
      </c>
      <c r="S21" s="32" t="str">
        <f>TEXT(_xlfn.IFNA(VLOOKUP(Output_Table[[#This Row],[Month (Plan)]],OutupMonth_Table[#All],2,FALSE),""),"00")</f>
        <v>09</v>
      </c>
    </row>
    <row r="22" spans="1:19" ht="75" x14ac:dyDescent="0.25">
      <c r="A22" s="67" t="s">
        <v>120</v>
      </c>
      <c r="B22" s="40">
        <v>42968</v>
      </c>
      <c r="C22" s="32">
        <v>8</v>
      </c>
      <c r="D22" s="32" t="s">
        <v>5</v>
      </c>
      <c r="E22" s="32" t="s">
        <v>64</v>
      </c>
      <c r="F22" s="45" t="s">
        <v>65</v>
      </c>
      <c r="G22" s="32" t="s">
        <v>42</v>
      </c>
      <c r="H22" s="75">
        <f>_xlfn.IFNA(VLOOKUP(Output_Table[[#This Row],[Progress]],ProgressCalculation_List,6,FALSE),"")</f>
        <v>1.0000000000000002</v>
      </c>
      <c r="I22" s="76"/>
      <c r="J22" s="78">
        <v>43000</v>
      </c>
      <c r="K22" s="79">
        <v>8</v>
      </c>
      <c r="L22" s="81"/>
      <c r="M22" s="44">
        <v>42983.625</v>
      </c>
      <c r="N22" s="131" t="s">
        <v>66</v>
      </c>
      <c r="O22" s="29"/>
      <c r="P22" s="29"/>
      <c r="Q22" s="29" t="s">
        <v>98</v>
      </c>
      <c r="R22" s="53">
        <v>2017</v>
      </c>
      <c r="S22" s="32" t="str">
        <f>TEXT(_xlfn.IFNA(VLOOKUP(Output_Table[[#This Row],[Month (Plan)]],OutupMonth_Table[#All],2,FALSE),""),"00")</f>
        <v>09</v>
      </c>
    </row>
    <row r="23" spans="1:19" ht="30" x14ac:dyDescent="0.25">
      <c r="A23" s="67" t="s">
        <v>121</v>
      </c>
      <c r="B23" s="40">
        <v>42969</v>
      </c>
      <c r="C23" s="32">
        <v>8</v>
      </c>
      <c r="D23" s="32" t="s">
        <v>5</v>
      </c>
      <c r="E23" s="32" t="s">
        <v>62</v>
      </c>
      <c r="F23" s="45" t="s">
        <v>63</v>
      </c>
      <c r="G23" s="32" t="s">
        <v>42</v>
      </c>
      <c r="H23" s="75">
        <f>_xlfn.IFNA(VLOOKUP(Output_Table[[#This Row],[Progress]],ProgressCalculation_List,6,FALSE),"")</f>
        <v>1.0000000000000002</v>
      </c>
      <c r="I23" s="76"/>
      <c r="J23" s="78">
        <v>43000</v>
      </c>
      <c r="K23" s="79">
        <v>8</v>
      </c>
      <c r="L23" s="81"/>
      <c r="M23" s="44">
        <v>42986.423611111109</v>
      </c>
      <c r="N23" s="132" t="s">
        <v>67</v>
      </c>
      <c r="O23" s="29"/>
      <c r="P23" s="29"/>
      <c r="Q23" s="29" t="s">
        <v>98</v>
      </c>
      <c r="R23" s="53">
        <v>2017</v>
      </c>
      <c r="S23" s="32" t="str">
        <f>TEXT(_xlfn.IFNA(VLOOKUP(Output_Table[[#This Row],[Month (Plan)]],OutupMonth_Table[#All],2,FALSE),""),"00")</f>
        <v>09</v>
      </c>
    </row>
    <row r="24" spans="1:19" ht="75" x14ac:dyDescent="0.25">
      <c r="A24" s="67" t="s">
        <v>122</v>
      </c>
      <c r="B24" s="40">
        <v>42969</v>
      </c>
      <c r="C24" s="32">
        <v>8</v>
      </c>
      <c r="D24" s="32" t="s">
        <v>5</v>
      </c>
      <c r="E24" s="41" t="s">
        <v>69</v>
      </c>
      <c r="F24" s="41" t="s">
        <v>68</v>
      </c>
      <c r="G24" s="32" t="s">
        <v>42</v>
      </c>
      <c r="H24" s="75">
        <f>_xlfn.IFNA(VLOOKUP(Output_Table[[#This Row],[Progress]],ProgressCalculation_List,6,FALSE),"")</f>
        <v>1.0000000000000002</v>
      </c>
      <c r="I24" s="76"/>
      <c r="J24" s="78">
        <v>43007</v>
      </c>
      <c r="K24" s="79">
        <v>8</v>
      </c>
      <c r="L24" s="81"/>
      <c r="M24" s="44">
        <v>42996.40625</v>
      </c>
      <c r="N24" s="132" t="s">
        <v>72</v>
      </c>
      <c r="O24" s="29"/>
      <c r="P24" s="29"/>
      <c r="Q24" s="29" t="s">
        <v>98</v>
      </c>
      <c r="R24" s="53">
        <v>2017</v>
      </c>
      <c r="S24" s="32" t="str">
        <f>TEXT(_xlfn.IFNA(VLOOKUP(Output_Table[[#This Row],[Month (Plan)]],OutupMonth_Table[#All],2,FALSE),""),"00")</f>
        <v>09</v>
      </c>
    </row>
    <row r="25" spans="1:19" ht="60" x14ac:dyDescent="0.25">
      <c r="A25" s="70" t="s">
        <v>123</v>
      </c>
      <c r="B25" s="138">
        <v>42978</v>
      </c>
      <c r="C25" s="139">
        <v>10</v>
      </c>
      <c r="D25" s="32" t="s">
        <v>5</v>
      </c>
      <c r="E25" s="32"/>
      <c r="F25" s="32"/>
      <c r="G25" s="32" t="s">
        <v>42</v>
      </c>
      <c r="H25" s="75">
        <f>_xlfn.IFNA(VLOOKUP(Output_Table[[#This Row],[Progress]],ProgressCalculation_List,6,FALSE),"")</f>
        <v>1.0000000000000002</v>
      </c>
      <c r="I25" s="76"/>
      <c r="J25" s="78">
        <v>43007</v>
      </c>
      <c r="K25" s="79">
        <v>10</v>
      </c>
      <c r="L25" s="81"/>
      <c r="M25" s="44">
        <v>42992.715277777781</v>
      </c>
      <c r="N25" s="132" t="s">
        <v>73</v>
      </c>
      <c r="O25" s="29"/>
      <c r="P25" s="29"/>
      <c r="Q25" s="29" t="s">
        <v>98</v>
      </c>
      <c r="R25" s="53">
        <v>2017</v>
      </c>
      <c r="S25" s="32" t="str">
        <f>TEXT(_xlfn.IFNA(VLOOKUP(Output_Table[[#This Row],[Month (Plan)]],OutupMonth_Table[#All],2,FALSE),""),"00")</f>
        <v>09</v>
      </c>
    </row>
    <row r="26" spans="1:19" ht="122.25" customHeight="1" x14ac:dyDescent="0.25">
      <c r="A26" s="67" t="s">
        <v>124</v>
      </c>
      <c r="B26" s="40">
        <v>42982</v>
      </c>
      <c r="C26" s="32">
        <v>8</v>
      </c>
      <c r="D26" s="32" t="s">
        <v>5</v>
      </c>
      <c r="E26" s="32" t="s">
        <v>44</v>
      </c>
      <c r="F26" s="40">
        <v>42992</v>
      </c>
      <c r="G26" s="32" t="s">
        <v>42</v>
      </c>
      <c r="H26" s="75">
        <f>_xlfn.IFNA(VLOOKUP(Output_Table[[#This Row],[Progress]],ProgressCalculation_List,6,FALSE),"")</f>
        <v>1.0000000000000002</v>
      </c>
      <c r="I26" s="76"/>
      <c r="J26" s="78">
        <v>43021</v>
      </c>
      <c r="K26" s="79">
        <v>8</v>
      </c>
      <c r="L26" s="81"/>
      <c r="M26" s="44">
        <v>43000.416666666664</v>
      </c>
      <c r="N26" s="133" t="s">
        <v>84</v>
      </c>
      <c r="O26" s="29">
        <v>0</v>
      </c>
      <c r="P26" s="29">
        <v>0</v>
      </c>
      <c r="Q26" s="29" t="s">
        <v>76</v>
      </c>
      <c r="R26" s="53">
        <v>2017</v>
      </c>
      <c r="S26" s="32" t="str">
        <f>TEXT(_xlfn.IFNA(VLOOKUP(Output_Table[[#This Row],[Month (Plan)]],OutupMonth_Table[#All],2,FALSE),""),"00")</f>
        <v>10</v>
      </c>
    </row>
    <row r="27" spans="1:19" ht="180" x14ac:dyDescent="0.25">
      <c r="A27" s="67" t="s">
        <v>125</v>
      </c>
      <c r="B27" s="40">
        <v>42983</v>
      </c>
      <c r="C27" s="32">
        <v>8</v>
      </c>
      <c r="D27" s="32" t="s">
        <v>5</v>
      </c>
      <c r="E27" s="32" t="s">
        <v>70</v>
      </c>
      <c r="F27" s="45" t="s">
        <v>71</v>
      </c>
      <c r="G27" s="32" t="s">
        <v>42</v>
      </c>
      <c r="H27" s="75">
        <f>_xlfn.IFNA(VLOOKUP(Output_Table[[#This Row],[Progress]],ProgressCalculation_List,6,FALSE),"")</f>
        <v>1.0000000000000002</v>
      </c>
      <c r="I27" s="76"/>
      <c r="J27" s="78">
        <v>43021</v>
      </c>
      <c r="K27" s="79">
        <v>8</v>
      </c>
      <c r="L27" s="81"/>
      <c r="M27" s="44">
        <v>43003.5625</v>
      </c>
      <c r="N27" s="134" t="s">
        <v>85</v>
      </c>
      <c r="O27" s="29"/>
      <c r="P27" s="29"/>
      <c r="Q27" s="29" t="s">
        <v>76</v>
      </c>
      <c r="R27" s="53">
        <v>2017</v>
      </c>
      <c r="S27" s="32" t="str">
        <f>TEXT(_xlfn.IFNA(VLOOKUP(Output_Table[[#This Row],[Month (Plan)]],OutupMonth_Table[#All],2,FALSE),""),"00")</f>
        <v>10</v>
      </c>
    </row>
    <row r="28" spans="1:19" ht="90" x14ac:dyDescent="0.25">
      <c r="A28" s="67" t="s">
        <v>126</v>
      </c>
      <c r="B28" s="40">
        <v>42983</v>
      </c>
      <c r="C28" s="32">
        <v>8</v>
      </c>
      <c r="D28" s="32" t="s">
        <v>5</v>
      </c>
      <c r="E28" s="32" t="s">
        <v>44</v>
      </c>
      <c r="F28" s="40">
        <v>42992</v>
      </c>
      <c r="G28" s="32" t="s">
        <v>42</v>
      </c>
      <c r="H28" s="75">
        <f>_xlfn.IFNA(VLOOKUP(Output_Table[[#This Row],[Progress]],ProgressCalculation_List,6,FALSE),"")</f>
        <v>1.0000000000000002</v>
      </c>
      <c r="I28" s="76"/>
      <c r="J28" s="78">
        <v>43028</v>
      </c>
      <c r="K28" s="79">
        <v>8</v>
      </c>
      <c r="L28" s="35" t="s">
        <v>77</v>
      </c>
      <c r="M28" s="44">
        <v>43007.520833333336</v>
      </c>
      <c r="N28" s="133" t="s">
        <v>83</v>
      </c>
      <c r="O28" s="29"/>
      <c r="P28" s="29"/>
      <c r="Q28" s="29" t="s">
        <v>76</v>
      </c>
      <c r="R28" s="53">
        <v>2017</v>
      </c>
      <c r="S28" s="32" t="str">
        <f>TEXT(_xlfn.IFNA(VLOOKUP(Output_Table[[#This Row],[Month (Plan)]],OutupMonth_Table[#All],2,FALSE),""),"00")</f>
        <v>10</v>
      </c>
    </row>
    <row r="29" spans="1:19" ht="60" x14ac:dyDescent="0.25">
      <c r="A29" s="67" t="s">
        <v>127</v>
      </c>
      <c r="B29" s="40">
        <v>43003</v>
      </c>
      <c r="C29" s="32">
        <v>8</v>
      </c>
      <c r="D29" s="32" t="s">
        <v>5</v>
      </c>
      <c r="E29" s="32"/>
      <c r="F29" s="32"/>
      <c r="G29" s="32" t="s">
        <v>42</v>
      </c>
      <c r="H29" s="75">
        <f>_xlfn.IFNA(VLOOKUP(Output_Table[[#This Row],[Progress]],ProgressCalculation_List,6,FALSE),"")</f>
        <v>1.0000000000000002</v>
      </c>
      <c r="I29" s="76"/>
      <c r="J29" s="78">
        <v>43028</v>
      </c>
      <c r="K29" s="79">
        <v>8</v>
      </c>
      <c r="L29" s="81"/>
      <c r="M29" s="44">
        <v>43007.5</v>
      </c>
      <c r="N29" s="133" t="s">
        <v>79</v>
      </c>
      <c r="O29" s="29"/>
      <c r="P29" s="29"/>
      <c r="Q29" s="29" t="s">
        <v>76</v>
      </c>
      <c r="R29" s="53">
        <v>2017</v>
      </c>
      <c r="S29" s="32" t="str">
        <f>TEXT(_xlfn.IFNA(VLOOKUP(Output_Table[[#This Row],[Month (Plan)]],OutupMonth_Table[#All],2,FALSE),""),"00")</f>
        <v>10</v>
      </c>
    </row>
    <row r="30" spans="1:19" ht="60" x14ac:dyDescent="0.25">
      <c r="A30" s="67" t="s">
        <v>128</v>
      </c>
      <c r="B30" s="40">
        <v>43004</v>
      </c>
      <c r="C30" s="32">
        <v>8</v>
      </c>
      <c r="D30" s="32" t="s">
        <v>5</v>
      </c>
      <c r="E30" s="32"/>
      <c r="F30" s="32"/>
      <c r="G30" s="32" t="s">
        <v>42</v>
      </c>
      <c r="H30" s="75">
        <f>_xlfn.IFNA(VLOOKUP(Output_Table[[#This Row],[Progress]],ProgressCalculation_List,6,FALSE),"")</f>
        <v>1.0000000000000002</v>
      </c>
      <c r="I30" s="76"/>
      <c r="J30" s="78">
        <v>43028</v>
      </c>
      <c r="K30" s="79">
        <v>8</v>
      </c>
      <c r="L30" s="81"/>
      <c r="M30" s="44">
        <v>43038.444444444445</v>
      </c>
      <c r="N30" s="133" t="s">
        <v>79</v>
      </c>
      <c r="O30" s="29"/>
      <c r="P30" s="29"/>
      <c r="Q30" s="29" t="s">
        <v>76</v>
      </c>
      <c r="R30" s="53">
        <v>2017</v>
      </c>
      <c r="S30" s="32" t="str">
        <f>TEXT(_xlfn.IFNA(VLOOKUP(Output_Table[[#This Row],[Month (Plan)]],OutupMonth_Table[#All],2,FALSE),""),"00")</f>
        <v>10</v>
      </c>
    </row>
    <row r="31" spans="1:19" x14ac:dyDescent="0.25">
      <c r="A31" s="67" t="s">
        <v>129</v>
      </c>
      <c r="B31" s="40">
        <v>43004</v>
      </c>
      <c r="C31" s="32">
        <v>8</v>
      </c>
      <c r="D31" s="32" t="s">
        <v>5</v>
      </c>
      <c r="E31" s="32"/>
      <c r="F31" s="32"/>
      <c r="G31" s="32" t="s">
        <v>42</v>
      </c>
      <c r="H31" s="75">
        <f>_xlfn.IFNA(VLOOKUP(Output_Table[[#This Row],[Progress]],ProgressCalculation_List,6,FALSE),"")</f>
        <v>1.0000000000000002</v>
      </c>
      <c r="I31" s="76"/>
      <c r="J31" s="78">
        <v>43035</v>
      </c>
      <c r="K31" s="79">
        <v>8</v>
      </c>
      <c r="L31" s="81"/>
      <c r="M31" s="44">
        <v>43012.364583333336</v>
      </c>
      <c r="N31" s="53" t="s">
        <v>78</v>
      </c>
      <c r="O31" s="29"/>
      <c r="P31" s="29"/>
      <c r="Q31" s="29" t="s">
        <v>76</v>
      </c>
      <c r="R31" s="53">
        <v>2017</v>
      </c>
      <c r="S31" s="32" t="str">
        <f>TEXT(_xlfn.IFNA(VLOOKUP(Output_Table[[#This Row],[Month (Plan)]],OutupMonth_Table[#All],2,FALSE),""),"00")</f>
        <v>10</v>
      </c>
    </row>
    <row r="32" spans="1:19" x14ac:dyDescent="0.25">
      <c r="A32" s="67" t="s">
        <v>130</v>
      </c>
      <c r="B32" s="40">
        <v>43004</v>
      </c>
      <c r="C32" s="32">
        <v>8</v>
      </c>
      <c r="D32" s="32" t="s">
        <v>5</v>
      </c>
      <c r="E32" s="32"/>
      <c r="F32" s="32"/>
      <c r="G32" s="32" t="s">
        <v>42</v>
      </c>
      <c r="H32" s="75">
        <f>_xlfn.IFNA(VLOOKUP(Output_Table[[#This Row],[Progress]],ProgressCalculation_List,6,FALSE),"")</f>
        <v>1.0000000000000002</v>
      </c>
      <c r="I32" s="76"/>
      <c r="J32" s="78">
        <v>43035</v>
      </c>
      <c r="K32" s="79">
        <v>8</v>
      </c>
      <c r="L32" s="81"/>
      <c r="M32" s="44">
        <v>43012.625</v>
      </c>
      <c r="N32" s="53"/>
      <c r="O32" s="29"/>
      <c r="P32" s="29"/>
      <c r="Q32" s="29" t="s">
        <v>76</v>
      </c>
      <c r="R32" s="53">
        <v>2017</v>
      </c>
      <c r="S32" s="32" t="str">
        <f>TEXT(_xlfn.IFNA(VLOOKUP(Output_Table[[#This Row],[Month (Plan)]],OutupMonth_Table[#All],2,FALSE),""),"00")</f>
        <v>10</v>
      </c>
    </row>
    <row r="33" spans="1:19" x14ac:dyDescent="0.25">
      <c r="A33" s="67" t="s">
        <v>131</v>
      </c>
      <c r="B33" s="40">
        <v>43012</v>
      </c>
      <c r="C33" s="32">
        <v>8</v>
      </c>
      <c r="D33" s="32" t="s">
        <v>5</v>
      </c>
      <c r="E33" s="32"/>
      <c r="F33" s="32"/>
      <c r="G33" s="32" t="s">
        <v>42</v>
      </c>
      <c r="H33" s="75">
        <f>_xlfn.IFNA(VLOOKUP(Output_Table[[#This Row],[Progress]],ProgressCalculation_List,6,FALSE),"")</f>
        <v>1.0000000000000002</v>
      </c>
      <c r="I33" s="76"/>
      <c r="J33" s="78">
        <v>43035</v>
      </c>
      <c r="K33" s="79">
        <v>8</v>
      </c>
      <c r="L33" s="81"/>
      <c r="M33" s="44">
        <v>37173.4375</v>
      </c>
      <c r="N33" s="53"/>
      <c r="O33" s="29"/>
      <c r="P33" s="29"/>
      <c r="Q33" s="29" t="s">
        <v>76</v>
      </c>
      <c r="R33" s="53">
        <v>2017</v>
      </c>
      <c r="S33" s="32" t="str">
        <f>TEXT(_xlfn.IFNA(VLOOKUP(Output_Table[[#This Row],[Month (Plan)]],OutupMonth_Table[#All],2,FALSE),""),"00")</f>
        <v>10</v>
      </c>
    </row>
    <row r="34" spans="1:19" ht="30" x14ac:dyDescent="0.25">
      <c r="A34" s="67" t="s">
        <v>132</v>
      </c>
      <c r="B34" s="40">
        <v>43012</v>
      </c>
      <c r="C34" s="32">
        <v>8</v>
      </c>
      <c r="D34" s="32" t="s">
        <v>5</v>
      </c>
      <c r="E34" s="32" t="s">
        <v>80</v>
      </c>
      <c r="F34" s="45" t="s">
        <v>82</v>
      </c>
      <c r="G34" s="32" t="s">
        <v>42</v>
      </c>
      <c r="H34" s="75">
        <f>_xlfn.IFNA(VLOOKUP(Output_Table[[#This Row],[Progress]],ProgressCalculation_List,6,FALSE),"")</f>
        <v>1.0000000000000002</v>
      </c>
      <c r="I34" s="76"/>
      <c r="J34" s="78">
        <v>43039</v>
      </c>
      <c r="K34" s="79">
        <v>8</v>
      </c>
      <c r="L34" s="81"/>
      <c r="M34" s="44">
        <v>43018.46875</v>
      </c>
      <c r="N34" s="53"/>
      <c r="O34" s="29">
        <v>0</v>
      </c>
      <c r="P34" s="29">
        <v>0</v>
      </c>
      <c r="Q34" s="29" t="s">
        <v>88</v>
      </c>
      <c r="R34" s="53">
        <v>2017</v>
      </c>
      <c r="S34" s="32" t="str">
        <f>TEXT(_xlfn.IFNA(VLOOKUP(Output_Table[[#This Row],[Month (Plan)]],OutupMonth_Table[#All],2,FALSE),""),"00")</f>
        <v>11</v>
      </c>
    </row>
    <row r="35" spans="1:19" ht="45" x14ac:dyDescent="0.25">
      <c r="A35" s="67" t="s">
        <v>133</v>
      </c>
      <c r="B35" s="40">
        <v>43012</v>
      </c>
      <c r="C35" s="32">
        <v>8</v>
      </c>
      <c r="D35" s="32" t="s">
        <v>5</v>
      </c>
      <c r="E35" s="32" t="s">
        <v>81</v>
      </c>
      <c r="F35" s="45" t="s">
        <v>89</v>
      </c>
      <c r="G35" s="32" t="s">
        <v>42</v>
      </c>
      <c r="H35" s="75">
        <f>_xlfn.IFNA(VLOOKUP(Output_Table[[#This Row],[Progress]],ProgressCalculation_List,6,FALSE),"")</f>
        <v>1.0000000000000002</v>
      </c>
      <c r="I35" s="76"/>
      <c r="J35" s="78">
        <v>43045</v>
      </c>
      <c r="K35" s="79">
        <v>8</v>
      </c>
      <c r="L35" s="81"/>
      <c r="M35" s="44">
        <v>43028.520833333336</v>
      </c>
      <c r="N35" s="131" t="s">
        <v>103</v>
      </c>
      <c r="O35" s="29"/>
      <c r="P35" s="29"/>
      <c r="Q35" s="29" t="s">
        <v>88</v>
      </c>
      <c r="R35" s="53">
        <v>2017</v>
      </c>
      <c r="S35" s="32" t="str">
        <f>TEXT(_xlfn.IFNA(VLOOKUP(Output_Table[[#This Row],[Month (Plan)]],OutupMonth_Table[#All],2,FALSE),""),"00")</f>
        <v>11</v>
      </c>
    </row>
    <row r="36" spans="1:19" x14ac:dyDescent="0.25">
      <c r="A36" s="67" t="s">
        <v>134</v>
      </c>
      <c r="B36" s="40">
        <v>43025</v>
      </c>
      <c r="C36" s="32">
        <v>8</v>
      </c>
      <c r="D36" s="32" t="s">
        <v>5</v>
      </c>
      <c r="E36" s="32"/>
      <c r="F36" s="32"/>
      <c r="G36" s="32" t="s">
        <v>42</v>
      </c>
      <c r="H36" s="75">
        <f>_xlfn.IFNA(VLOOKUP(Output_Table[[#This Row],[Progress]],ProgressCalculation_List,6,FALSE),"")</f>
        <v>1.0000000000000002</v>
      </c>
      <c r="I36" s="76"/>
      <c r="J36" s="78">
        <v>43047</v>
      </c>
      <c r="K36" s="79">
        <v>8</v>
      </c>
      <c r="L36" s="81"/>
      <c r="M36" s="44">
        <v>43031.541666666664</v>
      </c>
      <c r="N36" s="53"/>
      <c r="O36" s="29"/>
      <c r="P36" s="29"/>
      <c r="Q36" s="29" t="s">
        <v>88</v>
      </c>
      <c r="R36" s="53">
        <v>2017</v>
      </c>
      <c r="S36" s="32" t="str">
        <f>TEXT(_xlfn.IFNA(VLOOKUP(Output_Table[[#This Row],[Month (Plan)]],OutupMonth_Table[#All],2,FALSE),""),"00")</f>
        <v>11</v>
      </c>
    </row>
    <row r="37" spans="1:19" ht="30" x14ac:dyDescent="0.25">
      <c r="A37" s="67" t="s">
        <v>135</v>
      </c>
      <c r="B37" s="40">
        <v>43025</v>
      </c>
      <c r="C37" s="32">
        <v>8</v>
      </c>
      <c r="D37" s="32" t="s">
        <v>5</v>
      </c>
      <c r="E37" s="32" t="s">
        <v>87</v>
      </c>
      <c r="F37" s="45" t="s">
        <v>86</v>
      </c>
      <c r="G37" s="32" t="s">
        <v>42</v>
      </c>
      <c r="H37" s="75">
        <f>_xlfn.IFNA(VLOOKUP(Output_Table[[#This Row],[Progress]],ProgressCalculation_List,6,FALSE),"")</f>
        <v>1.0000000000000002</v>
      </c>
      <c r="I37" s="76"/>
      <c r="J37" s="78">
        <v>43049</v>
      </c>
      <c r="K37" s="79">
        <v>7</v>
      </c>
      <c r="L37" s="81"/>
      <c r="M37" s="44">
        <v>43039.677083333336</v>
      </c>
      <c r="N37" s="53" t="s">
        <v>101</v>
      </c>
      <c r="O37" s="29"/>
      <c r="P37" s="29"/>
      <c r="Q37" s="29" t="s">
        <v>88</v>
      </c>
      <c r="R37" s="53">
        <v>2017</v>
      </c>
      <c r="S37" s="32" t="str">
        <f>TEXT(_xlfn.IFNA(VLOOKUP(Output_Table[[#This Row],[Month (Plan)]],OutupMonth_Table[#All],2,FALSE),""),"00")</f>
        <v>11</v>
      </c>
    </row>
    <row r="38" spans="1:19" ht="60" x14ac:dyDescent="0.25">
      <c r="A38" s="67" t="s">
        <v>136</v>
      </c>
      <c r="B38" s="40">
        <v>43035</v>
      </c>
      <c r="C38" s="32">
        <v>8</v>
      </c>
      <c r="D38" s="32" t="s">
        <v>5</v>
      </c>
      <c r="E38" s="32"/>
      <c r="F38" s="32"/>
      <c r="G38" s="32" t="s">
        <v>42</v>
      </c>
      <c r="H38" s="75">
        <f>_xlfn.IFNA(VLOOKUP(Output_Table[[#This Row],[Progress]],ProgressCalculation_List,6,FALSE),"")</f>
        <v>1.0000000000000002</v>
      </c>
      <c r="I38" s="76"/>
      <c r="J38" s="78">
        <v>43054</v>
      </c>
      <c r="K38" s="79">
        <v>8</v>
      </c>
      <c r="L38" s="81"/>
      <c r="M38" s="44">
        <v>43039.729166666664</v>
      </c>
      <c r="N38" s="131" t="s">
        <v>102</v>
      </c>
      <c r="O38" s="29"/>
      <c r="P38" s="29"/>
      <c r="Q38" s="29" t="s">
        <v>88</v>
      </c>
      <c r="R38" s="53">
        <v>2017</v>
      </c>
      <c r="S38" s="32" t="str">
        <f>TEXT(_xlfn.IFNA(VLOOKUP(Output_Table[[#This Row],[Month (Plan)]],OutupMonth_Table[#All],2,FALSE),""),"00")</f>
        <v>11</v>
      </c>
    </row>
    <row r="39" spans="1:19" x14ac:dyDescent="0.25">
      <c r="A39" s="67" t="s">
        <v>137</v>
      </c>
      <c r="B39" s="40">
        <v>43035</v>
      </c>
      <c r="C39" s="32">
        <v>8</v>
      </c>
      <c r="D39" s="32" t="s">
        <v>5</v>
      </c>
      <c r="E39" s="32"/>
      <c r="F39" s="32"/>
      <c r="G39" s="32" t="s">
        <v>42</v>
      </c>
      <c r="H39" s="75">
        <f>_xlfn.IFNA(VLOOKUP(Output_Table[[#This Row],[Progress]],ProgressCalculation_List,6,FALSE),"")</f>
        <v>1.0000000000000002</v>
      </c>
      <c r="I39" s="76"/>
      <c r="J39" s="78">
        <v>43063</v>
      </c>
      <c r="K39" s="79">
        <v>8</v>
      </c>
      <c r="L39" s="81"/>
      <c r="M39" s="32"/>
      <c r="N39" s="53"/>
      <c r="O39" s="29"/>
      <c r="P39" s="29"/>
      <c r="Q39" s="29" t="s">
        <v>88</v>
      </c>
      <c r="R39" s="53">
        <v>2017</v>
      </c>
      <c r="S39" s="32" t="str">
        <f>TEXT(_xlfn.IFNA(VLOOKUP(Output_Table[[#This Row],[Month (Plan)]],OutupMonth_Table[#All],2,FALSE),""),"00")</f>
        <v>11</v>
      </c>
    </row>
    <row r="40" spans="1:19" x14ac:dyDescent="0.25">
      <c r="A40" s="67" t="s">
        <v>138</v>
      </c>
      <c r="B40" s="40">
        <v>43039</v>
      </c>
      <c r="C40" s="32">
        <v>8</v>
      </c>
      <c r="D40" s="32" t="s">
        <v>5</v>
      </c>
      <c r="E40" s="32"/>
      <c r="F40" s="32"/>
      <c r="G40" s="32" t="s">
        <v>42</v>
      </c>
      <c r="H40" s="75">
        <f>_xlfn.IFNA(VLOOKUP(Output_Table[[#This Row],[Progress]],ProgressCalculation_List,6,FALSE),"")</f>
        <v>1.0000000000000002</v>
      </c>
      <c r="I40" s="76"/>
      <c r="J40" s="78">
        <v>43063</v>
      </c>
      <c r="K40" s="79">
        <v>8</v>
      </c>
      <c r="L40" s="81"/>
      <c r="M40" s="32"/>
      <c r="N40" s="53"/>
      <c r="O40" s="29"/>
      <c r="P40" s="29"/>
      <c r="Q40" s="29" t="s">
        <v>88</v>
      </c>
      <c r="R40" s="53">
        <v>2017</v>
      </c>
      <c r="S40" s="32" t="str">
        <f>TEXT(_xlfn.IFNA(VLOOKUP(Output_Table[[#This Row],[Month (Plan)]],OutupMonth_Table[#All],2,FALSE),""),"00")</f>
        <v>11</v>
      </c>
    </row>
    <row r="41" spans="1:19" x14ac:dyDescent="0.25">
      <c r="A41" s="67" t="s">
        <v>139</v>
      </c>
      <c r="B41" s="40">
        <v>43039</v>
      </c>
      <c r="C41" s="32">
        <v>8</v>
      </c>
      <c r="D41" s="32" t="s">
        <v>5</v>
      </c>
      <c r="E41" s="32"/>
      <c r="F41" s="32"/>
      <c r="G41" s="32" t="s">
        <v>42</v>
      </c>
      <c r="H41" s="75">
        <f>_xlfn.IFNA(VLOOKUP(Output_Table[[#This Row],[Progress]],ProgressCalculation_List,6,FALSE),"")</f>
        <v>1.0000000000000002</v>
      </c>
      <c r="I41" s="76"/>
      <c r="J41" s="78">
        <v>43069</v>
      </c>
      <c r="K41" s="79">
        <v>8</v>
      </c>
      <c r="L41" s="81"/>
      <c r="M41" s="32"/>
      <c r="N41" s="53"/>
      <c r="O41" s="29"/>
      <c r="P41" s="29"/>
      <c r="Q41" s="29" t="s">
        <v>88</v>
      </c>
      <c r="R41" s="53">
        <v>2017</v>
      </c>
      <c r="S41" s="32" t="str">
        <f>TEXT(_xlfn.IFNA(VLOOKUP(Output_Table[[#This Row],[Month (Plan)]],OutupMonth_Table[#All],2,FALSE),""),"00")</f>
        <v>11</v>
      </c>
    </row>
    <row r="42" spans="1:19" x14ac:dyDescent="0.25">
      <c r="A42" s="67" t="s">
        <v>140</v>
      </c>
      <c r="B42" s="40">
        <v>43039</v>
      </c>
      <c r="C42" s="32">
        <v>8</v>
      </c>
      <c r="D42" s="32" t="s">
        <v>5</v>
      </c>
      <c r="E42" s="32"/>
      <c r="F42" s="32"/>
      <c r="G42" s="32" t="s">
        <v>42</v>
      </c>
      <c r="H42" s="75">
        <f>_xlfn.IFNA(VLOOKUP(Output_Table[[#This Row],[Progress]],ProgressCalculation_List,6,FALSE),"")</f>
        <v>1.0000000000000002</v>
      </c>
      <c r="I42" s="76"/>
      <c r="J42" s="78">
        <v>43069</v>
      </c>
      <c r="K42" s="79">
        <v>8</v>
      </c>
      <c r="L42" s="81"/>
      <c r="M42" s="32"/>
      <c r="N42" s="53"/>
      <c r="O42" s="29"/>
      <c r="P42" s="29"/>
      <c r="Q42" s="29" t="s">
        <v>88</v>
      </c>
      <c r="R42" s="53">
        <v>2017</v>
      </c>
      <c r="S42" s="32" t="str">
        <f>TEXT(_xlfn.IFNA(VLOOKUP(Output_Table[[#This Row],[Month (Plan)]],OutupMonth_Table[#All],2,FALSE),""),"00")</f>
        <v>11</v>
      </c>
    </row>
    <row r="43" spans="1:19" ht="45" x14ac:dyDescent="0.25">
      <c r="A43" s="67" t="s">
        <v>141</v>
      </c>
      <c r="B43" s="40">
        <v>43039</v>
      </c>
      <c r="C43" s="32">
        <v>8</v>
      </c>
      <c r="D43" s="32" t="s">
        <v>5</v>
      </c>
      <c r="E43" s="32"/>
      <c r="F43" s="32"/>
      <c r="G43" s="32" t="s">
        <v>42</v>
      </c>
      <c r="H43" s="75">
        <f>_xlfn.IFNA(VLOOKUP(Output_Table[[#This Row],[Progress]],ProgressCalculation_List,6,FALSE),"")</f>
        <v>1.0000000000000002</v>
      </c>
      <c r="I43" s="76"/>
      <c r="J43" s="78">
        <v>43084</v>
      </c>
      <c r="K43" s="79">
        <v>7</v>
      </c>
      <c r="L43" s="35" t="s">
        <v>104</v>
      </c>
      <c r="M43" s="44">
        <v>43055.458333333336</v>
      </c>
      <c r="N43" s="53"/>
      <c r="O43" s="29">
        <v>0</v>
      </c>
      <c r="P43" s="29">
        <v>0</v>
      </c>
      <c r="Q43" s="29" t="s">
        <v>99</v>
      </c>
      <c r="R43" s="53">
        <v>2017</v>
      </c>
      <c r="S43" s="32" t="str">
        <f>TEXT(_xlfn.IFNA(VLOOKUP(Output_Table[[#This Row],[Month (Plan)]],OutupMonth_Table[#All],2,FALSE),""),"00")</f>
        <v>12</v>
      </c>
    </row>
    <row r="44" spans="1:19" ht="16.5" customHeight="1" x14ac:dyDescent="0.25">
      <c r="A44" s="67" t="s">
        <v>142</v>
      </c>
      <c r="B44" s="40">
        <v>43054</v>
      </c>
      <c r="C44" s="32">
        <v>8</v>
      </c>
      <c r="D44" s="32" t="s">
        <v>5</v>
      </c>
      <c r="E44" s="32"/>
      <c r="F44" s="32"/>
      <c r="G44" s="32" t="s">
        <v>42</v>
      </c>
      <c r="H44" s="75">
        <f>_xlfn.IFNA(VLOOKUP(Output_Table[[#This Row],[Progress]],ProgressCalculation_List,6,FALSE),"")</f>
        <v>1.0000000000000002</v>
      </c>
      <c r="I44" s="76"/>
      <c r="J44" s="78">
        <v>43084</v>
      </c>
      <c r="K44" s="79">
        <v>8</v>
      </c>
      <c r="L44" s="81"/>
      <c r="M44" s="44">
        <v>43060.486111111109</v>
      </c>
      <c r="N44" s="131" t="s">
        <v>147</v>
      </c>
      <c r="O44" s="29"/>
      <c r="P44" s="29"/>
      <c r="Q44" s="29" t="s">
        <v>99</v>
      </c>
      <c r="R44" s="53">
        <v>2017</v>
      </c>
      <c r="S44" s="32" t="str">
        <f>TEXT(_xlfn.IFNA(VLOOKUP(Output_Table[[#This Row],[Month (Plan)]],OutupMonth_Table[#All],2,FALSE),""),"00")</f>
        <v>12</v>
      </c>
    </row>
    <row r="45" spans="1:19" ht="45" x14ac:dyDescent="0.25">
      <c r="A45" s="67" t="s">
        <v>143</v>
      </c>
      <c r="B45" s="40">
        <v>43054</v>
      </c>
      <c r="C45" s="32">
        <v>8</v>
      </c>
      <c r="D45" s="32" t="s">
        <v>5</v>
      </c>
      <c r="E45" s="32"/>
      <c r="F45" s="32"/>
      <c r="G45" s="32" t="s">
        <v>42</v>
      </c>
      <c r="H45" s="75">
        <f>_xlfn.IFNA(VLOOKUP(Output_Table[[#This Row],[Progress]],ProgressCalculation_List,6,FALSE),"")</f>
        <v>1.0000000000000002</v>
      </c>
      <c r="I45" s="76"/>
      <c r="J45" s="78">
        <v>43091</v>
      </c>
      <c r="K45" s="79">
        <v>8</v>
      </c>
      <c r="L45" s="81"/>
      <c r="M45" s="44">
        <v>43073.666666666664</v>
      </c>
      <c r="N45" s="131" t="s">
        <v>155</v>
      </c>
      <c r="O45" s="29"/>
      <c r="P45" s="29"/>
      <c r="Q45" s="29" t="s">
        <v>99</v>
      </c>
      <c r="R45" s="53">
        <v>2017</v>
      </c>
      <c r="S45" s="32" t="str">
        <f>TEXT(_xlfn.IFNA(VLOOKUP(Output_Table[[#This Row],[Month (Plan)]],OutupMonth_Table[#All],2,FALSE),""),"00")</f>
        <v>12</v>
      </c>
    </row>
    <row r="46" spans="1:19" ht="45" x14ac:dyDescent="0.25">
      <c r="A46" s="67" t="s">
        <v>144</v>
      </c>
      <c r="B46" s="40">
        <v>43054</v>
      </c>
      <c r="C46" s="32">
        <v>8</v>
      </c>
      <c r="D46" s="32" t="s">
        <v>5</v>
      </c>
      <c r="E46" s="32"/>
      <c r="F46" s="32"/>
      <c r="G46" s="32" t="s">
        <v>42</v>
      </c>
      <c r="H46" s="75">
        <f>_xlfn.IFNA(VLOOKUP(Output_Table[[#This Row],[Progress]],ProgressCalculation_List,6,FALSE),"")</f>
        <v>1.0000000000000002</v>
      </c>
      <c r="I46" s="76"/>
      <c r="J46" s="78">
        <v>43091</v>
      </c>
      <c r="K46" s="79">
        <v>8</v>
      </c>
      <c r="L46" s="81"/>
      <c r="M46" s="44">
        <v>43073.666666666664</v>
      </c>
      <c r="N46" s="131" t="s">
        <v>155</v>
      </c>
      <c r="O46" s="29"/>
      <c r="P46" s="29"/>
      <c r="Q46" s="29" t="s">
        <v>99</v>
      </c>
      <c r="R46" s="53">
        <v>2017</v>
      </c>
      <c r="S46" s="32" t="str">
        <f>TEXT(_xlfn.IFNA(VLOOKUP(Output_Table[[#This Row],[Month (Plan)]],OutupMonth_Table[#All],2,FALSE),""),"00")</f>
        <v>12</v>
      </c>
    </row>
    <row r="47" spans="1:19" ht="30" x14ac:dyDescent="0.25">
      <c r="A47" s="67" t="s">
        <v>145</v>
      </c>
      <c r="B47" s="40">
        <v>43060</v>
      </c>
      <c r="C47" s="32">
        <v>8</v>
      </c>
      <c r="D47" s="32" t="s">
        <v>5</v>
      </c>
      <c r="E47" s="32"/>
      <c r="F47" s="32"/>
      <c r="G47" s="32" t="s">
        <v>42</v>
      </c>
      <c r="H47" s="75">
        <f>_xlfn.IFNA(VLOOKUP(Output_Table[[#This Row],[Progress]],ProgressCalculation_List,6,FALSE),"")</f>
        <v>1.0000000000000002</v>
      </c>
      <c r="I47" s="76"/>
      <c r="J47" s="78">
        <v>43091</v>
      </c>
      <c r="K47" s="79">
        <v>8</v>
      </c>
      <c r="L47" s="81"/>
      <c r="M47" s="44">
        <v>43075.520833333336</v>
      </c>
      <c r="N47" s="131" t="s">
        <v>156</v>
      </c>
      <c r="O47" s="29"/>
      <c r="P47" s="29"/>
      <c r="Q47" s="29" t="s">
        <v>99</v>
      </c>
      <c r="R47" s="53">
        <v>2017</v>
      </c>
      <c r="S47" s="32" t="str">
        <f>TEXT(_xlfn.IFNA(VLOOKUP(Output_Table[[#This Row],[Month (Plan)]],OutupMonth_Table[#All],2,FALSE),""),"00")</f>
        <v>12</v>
      </c>
    </row>
    <row r="48" spans="1:19" x14ac:dyDescent="0.25">
      <c r="A48" s="67" t="s">
        <v>146</v>
      </c>
      <c r="B48" s="40">
        <v>43061</v>
      </c>
      <c r="C48">
        <v>8</v>
      </c>
      <c r="D48" s="32" t="s">
        <v>5</v>
      </c>
      <c r="E48" s="32"/>
      <c r="F48" s="32"/>
      <c r="G48" s="32" t="s">
        <v>42</v>
      </c>
      <c r="H48" s="75">
        <f>_xlfn.IFNA(VLOOKUP(Output_Table[[#This Row],[Progress]],ProgressCalculation_List,6,FALSE),"")</f>
        <v>1.0000000000000002</v>
      </c>
      <c r="I48" s="76"/>
      <c r="J48" s="78">
        <v>43105</v>
      </c>
      <c r="K48" s="79">
        <v>8</v>
      </c>
      <c r="L48" s="81"/>
      <c r="M48" s="44">
        <v>43075.520833333336</v>
      </c>
      <c r="N48" s="53"/>
      <c r="O48" s="29">
        <v>0</v>
      </c>
      <c r="P48" s="29">
        <v>0</v>
      </c>
      <c r="Q48" s="29" t="s">
        <v>90</v>
      </c>
      <c r="R48" s="53">
        <v>2018</v>
      </c>
      <c r="S48" s="32" t="str">
        <f>TEXT(_xlfn.IFNA(VLOOKUP(Output_Table[[#This Row],[Month (Plan)]],OutupMonth_Table[#All],2,FALSE),""),"00")</f>
        <v>01</v>
      </c>
    </row>
    <row r="49" spans="1:19" x14ac:dyDescent="0.25">
      <c r="A49" s="67" t="s">
        <v>148</v>
      </c>
      <c r="B49" s="40">
        <v>43069</v>
      </c>
      <c r="C49">
        <v>8</v>
      </c>
      <c r="D49" s="32" t="s">
        <v>5</v>
      </c>
      <c r="E49" s="32"/>
      <c r="F49" s="32"/>
      <c r="G49" s="32" t="s">
        <v>42</v>
      </c>
      <c r="H49" s="75">
        <f>_xlfn.IFNA(VLOOKUP(Output_Table[[#This Row],[Progress]],ProgressCalculation_List,6,FALSE),"")</f>
        <v>1.0000000000000002</v>
      </c>
      <c r="I49" s="76"/>
      <c r="J49" s="78">
        <v>43105</v>
      </c>
      <c r="K49" s="79">
        <v>8</v>
      </c>
      <c r="L49" s="81"/>
      <c r="M49" s="32"/>
      <c r="N49" s="53"/>
      <c r="O49" s="29"/>
      <c r="P49" s="29"/>
      <c r="Q49" s="29" t="s">
        <v>90</v>
      </c>
      <c r="R49" s="53">
        <v>2018</v>
      </c>
      <c r="S49" s="32" t="str">
        <f>TEXT(_xlfn.IFNA(VLOOKUP(Output_Table[[#This Row],[Month (Plan)]],OutupMonth_Table[#All],2,FALSE),""),"00")</f>
        <v>01</v>
      </c>
    </row>
    <row r="50" spans="1:19" x14ac:dyDescent="0.25">
      <c r="A50" s="67" t="s">
        <v>149</v>
      </c>
      <c r="B50" s="40">
        <v>43073</v>
      </c>
      <c r="C50">
        <v>8</v>
      </c>
      <c r="D50" s="32" t="s">
        <v>5</v>
      </c>
      <c r="E50" s="32" t="s">
        <v>152</v>
      </c>
      <c r="F50" s="40">
        <v>43076</v>
      </c>
      <c r="G50" s="32" t="s">
        <v>42</v>
      </c>
      <c r="H50" s="75">
        <f>_xlfn.IFNA(VLOOKUP(Output_Table[[#This Row],[Progress]],ProgressCalculation_List,6,FALSE),"")</f>
        <v>1.0000000000000002</v>
      </c>
      <c r="I50" s="76"/>
      <c r="J50" s="78">
        <v>43112</v>
      </c>
      <c r="K50" s="79">
        <v>8</v>
      </c>
      <c r="L50" s="81"/>
      <c r="M50" s="44">
        <v>43081.333333333336</v>
      </c>
      <c r="N50" s="53"/>
      <c r="O50" s="29"/>
      <c r="P50" s="29"/>
      <c r="Q50" s="29" t="s">
        <v>90</v>
      </c>
      <c r="R50" s="53">
        <v>2018</v>
      </c>
      <c r="S50" s="32" t="str">
        <f>TEXT(_xlfn.IFNA(VLOOKUP(Output_Table[[#This Row],[Month (Plan)]],OutupMonth_Table[#All],2,FALSE),""),"00")</f>
        <v>01</v>
      </c>
    </row>
    <row r="51" spans="1:19" x14ac:dyDescent="0.25">
      <c r="A51" s="67" t="s">
        <v>150</v>
      </c>
      <c r="B51" s="40">
        <v>43073</v>
      </c>
      <c r="C51">
        <v>8</v>
      </c>
      <c r="D51" s="32" t="s">
        <v>5</v>
      </c>
      <c r="E51" s="32" t="s">
        <v>153</v>
      </c>
      <c r="F51" s="40">
        <v>43076</v>
      </c>
      <c r="G51" s="32" t="s">
        <v>42</v>
      </c>
      <c r="H51" s="75">
        <f>_xlfn.IFNA(VLOOKUP(Output_Table[[#This Row],[Progress]],ProgressCalculation_List,6,FALSE),"")</f>
        <v>1.0000000000000002</v>
      </c>
      <c r="I51" s="76"/>
      <c r="J51" s="78">
        <v>43112</v>
      </c>
      <c r="K51" s="79">
        <v>8</v>
      </c>
      <c r="L51" s="81"/>
      <c r="M51" s="44">
        <v>43081.458333333336</v>
      </c>
      <c r="N51" s="53"/>
      <c r="O51" s="29"/>
      <c r="P51" s="29"/>
      <c r="Q51" s="29" t="s">
        <v>90</v>
      </c>
      <c r="R51" s="53">
        <v>2018</v>
      </c>
      <c r="S51" s="32" t="str">
        <f>TEXT(_xlfn.IFNA(VLOOKUP(Output_Table[[#This Row],[Month (Plan)]],OutupMonth_Table[#All],2,FALSE),""),"00")</f>
        <v>01</v>
      </c>
    </row>
    <row r="52" spans="1:19" x14ac:dyDescent="0.25">
      <c r="A52" s="67" t="s">
        <v>151</v>
      </c>
      <c r="B52" s="40">
        <v>43073</v>
      </c>
      <c r="C52">
        <v>8</v>
      </c>
      <c r="D52" s="32" t="s">
        <v>5</v>
      </c>
      <c r="E52" s="32" t="s">
        <v>153</v>
      </c>
      <c r="F52" s="40">
        <v>43076</v>
      </c>
      <c r="G52" s="32" t="s">
        <v>42</v>
      </c>
      <c r="H52" s="75">
        <f>_xlfn.IFNA(VLOOKUP(Output_Table[[#This Row],[Progress]],ProgressCalculation_List,6,FALSE),"")</f>
        <v>1.0000000000000002</v>
      </c>
      <c r="I52" s="76"/>
      <c r="J52" s="78">
        <v>43115</v>
      </c>
      <c r="K52" s="79">
        <v>8</v>
      </c>
      <c r="L52" s="81"/>
      <c r="M52" s="32"/>
      <c r="N52" s="53" t="s">
        <v>163</v>
      </c>
      <c r="O52" s="29"/>
      <c r="P52" s="29"/>
      <c r="Q52" s="29" t="s">
        <v>90</v>
      </c>
      <c r="R52" s="53">
        <v>2018</v>
      </c>
      <c r="S52" s="32" t="str">
        <f>TEXT(_xlfn.IFNA(VLOOKUP(Output_Table[[#This Row],[Month (Plan)]],OutupMonth_Table[#All],2,FALSE),""),"00")</f>
        <v>01</v>
      </c>
    </row>
    <row r="53" spans="1:19" x14ac:dyDescent="0.25">
      <c r="A53" s="67" t="s">
        <v>154</v>
      </c>
      <c r="B53" s="40">
        <v>43083</v>
      </c>
      <c r="C53">
        <v>8</v>
      </c>
      <c r="D53" s="32" t="s">
        <v>5</v>
      </c>
      <c r="E53" s="32"/>
      <c r="F53" s="32"/>
      <c r="G53" s="32" t="s">
        <v>42</v>
      </c>
      <c r="H53" s="75">
        <f>_xlfn.IFNA(VLOOKUP(Output_Table[[#This Row],[Progress]],ProgressCalculation_List,6,FALSE),"")</f>
        <v>1.0000000000000002</v>
      </c>
      <c r="I53" s="76"/>
      <c r="J53" s="78">
        <v>43117</v>
      </c>
      <c r="K53" s="79">
        <v>8</v>
      </c>
      <c r="L53" s="81"/>
      <c r="M53" s="44">
        <v>43102.673611111109</v>
      </c>
      <c r="N53" s="53" t="s">
        <v>166</v>
      </c>
      <c r="O53" s="29"/>
      <c r="P53" s="29"/>
      <c r="Q53" s="29" t="s">
        <v>90</v>
      </c>
      <c r="R53" s="53">
        <v>2018</v>
      </c>
      <c r="S53" s="32" t="str">
        <f>TEXT(_xlfn.IFNA(VLOOKUP(Output_Table[[#This Row],[Month (Plan)]],OutupMonth_Table[#All],2,FALSE),""),"00")</f>
        <v>01</v>
      </c>
    </row>
    <row r="54" spans="1:19" x14ac:dyDescent="0.25">
      <c r="A54" s="67" t="s">
        <v>157</v>
      </c>
      <c r="B54" s="40">
        <v>43088</v>
      </c>
      <c r="C54">
        <v>8</v>
      </c>
      <c r="D54" s="32" t="s">
        <v>5</v>
      </c>
      <c r="E54" s="32"/>
      <c r="F54" s="32"/>
      <c r="G54" s="32" t="s">
        <v>42</v>
      </c>
      <c r="H54" s="75">
        <f>_xlfn.IFNA(VLOOKUP(Output_Table[[#This Row],[Progress]],ProgressCalculation_List,6,FALSE),"")</f>
        <v>1.0000000000000002</v>
      </c>
      <c r="I54" s="76"/>
      <c r="J54" s="78">
        <v>43117</v>
      </c>
      <c r="K54" s="79">
        <v>8</v>
      </c>
      <c r="L54" s="81"/>
      <c r="M54" s="44">
        <v>43103.3125</v>
      </c>
      <c r="N54" s="53" t="s">
        <v>166</v>
      </c>
      <c r="O54" s="29"/>
      <c r="P54" s="29"/>
      <c r="Q54" s="29" t="s">
        <v>90</v>
      </c>
      <c r="R54" s="53">
        <v>2018</v>
      </c>
      <c r="S54" s="32" t="str">
        <f>TEXT(_xlfn.IFNA(VLOOKUP(Output_Table[[#This Row],[Month (Plan)]],OutupMonth_Table[#All],2,FALSE),""),"00")</f>
        <v>01</v>
      </c>
    </row>
    <row r="55" spans="1:19" x14ac:dyDescent="0.25">
      <c r="A55" s="67" t="s">
        <v>158</v>
      </c>
      <c r="B55" s="40">
        <v>43088</v>
      </c>
      <c r="C55">
        <v>8</v>
      </c>
      <c r="D55" s="32" t="s">
        <v>5</v>
      </c>
      <c r="E55" s="32"/>
      <c r="F55" s="32"/>
      <c r="G55" s="32" t="s">
        <v>42</v>
      </c>
      <c r="H55" s="75">
        <f>_xlfn.IFNA(VLOOKUP(Output_Table[[#This Row],[Progress]],ProgressCalculation_List,6,FALSE),"")</f>
        <v>1.0000000000000002</v>
      </c>
      <c r="I55" s="76"/>
      <c r="J55" s="78">
        <v>43123</v>
      </c>
      <c r="K55" s="79">
        <v>8</v>
      </c>
      <c r="L55" s="81"/>
      <c r="M55" s="32"/>
      <c r="N55" s="53"/>
      <c r="O55" s="29"/>
      <c r="P55" s="29"/>
      <c r="Q55" s="29" t="s">
        <v>90</v>
      </c>
      <c r="R55" s="53">
        <v>2018</v>
      </c>
      <c r="S55" s="32" t="str">
        <f>TEXT(_xlfn.IFNA(VLOOKUP(Output_Table[[#This Row],[Month (Plan)]],OutupMonth_Table[#All],2,FALSE),""),"00")</f>
        <v>01</v>
      </c>
    </row>
    <row r="56" spans="1:19" ht="30" x14ac:dyDescent="0.25">
      <c r="A56" s="67" t="s">
        <v>159</v>
      </c>
      <c r="B56" s="40">
        <v>43089</v>
      </c>
      <c r="C56">
        <v>8</v>
      </c>
      <c r="D56" s="32" t="s">
        <v>5</v>
      </c>
      <c r="E56" s="32" t="s">
        <v>160</v>
      </c>
      <c r="F56" s="40">
        <v>43089</v>
      </c>
      <c r="G56" s="32" t="s">
        <v>42</v>
      </c>
      <c r="H56" s="75">
        <f>_xlfn.IFNA(VLOOKUP(Output_Table[[#This Row],[Progress]],ProgressCalculation_List,6,FALSE),"")</f>
        <v>1.0000000000000002</v>
      </c>
      <c r="I56" s="76"/>
      <c r="J56" s="78">
        <v>43126</v>
      </c>
      <c r="K56" s="79">
        <v>8</v>
      </c>
      <c r="L56" s="81"/>
      <c r="M56" s="44">
        <v>43111.333333333336</v>
      </c>
      <c r="N56" s="134" t="s">
        <v>172</v>
      </c>
      <c r="O56" s="29"/>
      <c r="P56" s="29"/>
      <c r="Q56" s="29" t="s">
        <v>90</v>
      </c>
      <c r="R56" s="53">
        <v>2018</v>
      </c>
      <c r="S56" s="32" t="str">
        <f>TEXT(_xlfn.IFNA(VLOOKUP(Output_Table[[#This Row],[Month (Plan)]],OutupMonth_Table[#All],2,FALSE),""),"00")</f>
        <v>01</v>
      </c>
    </row>
    <row r="57" spans="1:19" x14ac:dyDescent="0.25">
      <c r="A57" s="67" t="s">
        <v>161</v>
      </c>
      <c r="B57" s="40">
        <v>43089</v>
      </c>
      <c r="C57">
        <v>8</v>
      </c>
      <c r="D57" s="32" t="s">
        <v>5</v>
      </c>
      <c r="E57" s="32" t="s">
        <v>160</v>
      </c>
      <c r="F57" s="40">
        <v>43089</v>
      </c>
      <c r="G57" s="32" t="s">
        <v>42</v>
      </c>
      <c r="H57" s="75">
        <f>_xlfn.IFNA(VLOOKUP(Output_Table[[#This Row],[Progress]],ProgressCalculation_List,6,FALSE),"")</f>
        <v>1.0000000000000002</v>
      </c>
      <c r="I57" s="76"/>
      <c r="J57" s="78">
        <v>43131</v>
      </c>
      <c r="K57" s="79">
        <v>8</v>
      </c>
      <c r="L57" s="81"/>
      <c r="M57" s="44">
        <v>43111.645833333336</v>
      </c>
      <c r="N57" s="135"/>
      <c r="O57" s="29"/>
      <c r="P57" s="29"/>
      <c r="Q57" s="29" t="s">
        <v>90</v>
      </c>
      <c r="R57" s="53">
        <v>2018</v>
      </c>
      <c r="S57" s="32" t="str">
        <f>TEXT(_xlfn.IFNA(VLOOKUP(Output_Table[[#This Row],[Month (Plan)]],OutupMonth_Table[#All],2,FALSE),""),"00")</f>
        <v>01</v>
      </c>
    </row>
    <row r="58" spans="1:19" ht="45" x14ac:dyDescent="0.25">
      <c r="A58" s="67" t="s">
        <v>164</v>
      </c>
      <c r="B58" s="40">
        <v>43104</v>
      </c>
      <c r="C58" s="32">
        <v>8</v>
      </c>
      <c r="D58" s="32" t="s">
        <v>5</v>
      </c>
      <c r="E58" s="41" t="s">
        <v>178</v>
      </c>
      <c r="F58" s="45" t="s">
        <v>177</v>
      </c>
      <c r="G58" s="32" t="s">
        <v>42</v>
      </c>
      <c r="H58" s="75">
        <f>_xlfn.IFNA(VLOOKUP(Output_Table[[#This Row],[Progress]],ProgressCalculation_List,6,FALSE),"")</f>
        <v>1.0000000000000002</v>
      </c>
      <c r="I58" s="76"/>
      <c r="J58" s="78">
        <v>43133</v>
      </c>
      <c r="K58" s="79">
        <v>8</v>
      </c>
      <c r="L58" s="81"/>
      <c r="M58" s="44">
        <v>43123.4375</v>
      </c>
      <c r="N58" s="53" t="s">
        <v>173</v>
      </c>
      <c r="O58" s="29">
        <v>0</v>
      </c>
      <c r="P58" s="29">
        <v>0</v>
      </c>
      <c r="Q58" s="29" t="s">
        <v>91</v>
      </c>
      <c r="R58" s="53">
        <v>2018</v>
      </c>
      <c r="S58" s="32" t="str">
        <f>TEXT(_xlfn.IFNA(VLOOKUP(Output_Table[[#This Row],[Month (Plan)]],OutupMonth_Table[#All],2,FALSE),""),"00")</f>
        <v>02</v>
      </c>
    </row>
    <row r="59" spans="1:19" x14ac:dyDescent="0.25">
      <c r="A59" s="67" t="s">
        <v>141</v>
      </c>
      <c r="B59" s="40">
        <v>43039</v>
      </c>
      <c r="C59" s="32">
        <v>8</v>
      </c>
      <c r="D59" s="32" t="s">
        <v>5</v>
      </c>
      <c r="E59" s="32"/>
      <c r="F59" s="32"/>
      <c r="G59" s="32" t="s">
        <v>42</v>
      </c>
      <c r="H59" s="75">
        <f>_xlfn.IFNA(VLOOKUP(Output_Table[[#This Row],[Progress]],ProgressCalculation_List,6,FALSE),"")</f>
        <v>1.0000000000000002</v>
      </c>
      <c r="I59" s="76"/>
      <c r="J59" s="78">
        <v>43133</v>
      </c>
      <c r="K59" s="79">
        <v>1</v>
      </c>
      <c r="L59" s="81"/>
      <c r="M59" s="44">
        <v>43122.333333333336</v>
      </c>
      <c r="N59" s="53" t="s">
        <v>173</v>
      </c>
      <c r="O59" s="29"/>
      <c r="P59" s="29"/>
      <c r="Q59" s="29" t="s">
        <v>91</v>
      </c>
      <c r="R59" s="53">
        <v>2018</v>
      </c>
      <c r="S59" s="32" t="str">
        <f>TEXT(_xlfn.IFNA(VLOOKUP(Output_Table[[#This Row],[Month (Plan)]],OutupMonth_Table[#All],2,FALSE),""),"00")</f>
        <v>02</v>
      </c>
    </row>
    <row r="60" spans="1:19" x14ac:dyDescent="0.25">
      <c r="A60" s="67" t="s">
        <v>167</v>
      </c>
      <c r="B60" s="51">
        <v>43123</v>
      </c>
      <c r="C60" s="29">
        <v>8</v>
      </c>
      <c r="D60" s="32" t="s">
        <v>5</v>
      </c>
      <c r="E60" s="32"/>
      <c r="F60" s="32"/>
      <c r="G60" s="32" t="s">
        <v>42</v>
      </c>
      <c r="H60" s="75">
        <f>_xlfn.IFNA(VLOOKUP(Output_Table[[#This Row],[Progress]],ProgressCalculation_List,6,FALSE),"")</f>
        <v>1.0000000000000002</v>
      </c>
      <c r="I60" s="76"/>
      <c r="J60" s="78">
        <v>43140</v>
      </c>
      <c r="K60" s="79">
        <v>8</v>
      </c>
      <c r="L60" s="81"/>
      <c r="M60" s="44">
        <v>43124.489583333336</v>
      </c>
      <c r="N60" s="53"/>
      <c r="O60" s="29"/>
      <c r="P60" s="29"/>
      <c r="Q60" s="29" t="s">
        <v>91</v>
      </c>
      <c r="R60" s="53">
        <v>2018</v>
      </c>
      <c r="S60" s="32" t="str">
        <f>TEXT(_xlfn.IFNA(VLOOKUP(Output_Table[[#This Row],[Month (Plan)]],OutupMonth_Table[#All],2,FALSE),""),"00")</f>
        <v>02</v>
      </c>
    </row>
    <row r="61" spans="1:19" x14ac:dyDescent="0.25">
      <c r="A61" s="67" t="s">
        <v>168</v>
      </c>
      <c r="B61" s="40">
        <v>43123</v>
      </c>
      <c r="C61" s="32">
        <v>8</v>
      </c>
      <c r="D61" s="32" t="s">
        <v>5</v>
      </c>
      <c r="E61" s="32" t="s">
        <v>169</v>
      </c>
      <c r="F61" s="40">
        <v>43124</v>
      </c>
      <c r="G61" s="32" t="s">
        <v>42</v>
      </c>
      <c r="H61" s="75">
        <f>_xlfn.IFNA(VLOOKUP(Output_Table[[#This Row],[Progress]],ProgressCalculation_List,6,FALSE),"")</f>
        <v>1.0000000000000002</v>
      </c>
      <c r="I61" s="76"/>
      <c r="J61" s="78">
        <v>43140</v>
      </c>
      <c r="K61" s="79">
        <v>8</v>
      </c>
      <c r="L61" s="81"/>
      <c r="M61" s="44">
        <v>43125.416666666664</v>
      </c>
      <c r="N61" s="53"/>
      <c r="O61" s="29"/>
      <c r="P61" s="29"/>
      <c r="Q61" s="29" t="s">
        <v>91</v>
      </c>
      <c r="R61" s="53">
        <v>2018</v>
      </c>
      <c r="S61" s="32" t="str">
        <f>TEXT(_xlfn.IFNA(VLOOKUP(Output_Table[[#This Row],[Month (Plan)]],OutupMonth_Table[#All],2,FALSE),""),"00")</f>
        <v>02</v>
      </c>
    </row>
    <row r="62" spans="1:19" x14ac:dyDescent="0.25">
      <c r="A62" s="67" t="s">
        <v>170</v>
      </c>
      <c r="B62" s="40">
        <v>43125</v>
      </c>
      <c r="C62" s="32">
        <v>8</v>
      </c>
      <c r="D62" s="32" t="s">
        <v>5</v>
      </c>
      <c r="E62" s="32"/>
      <c r="F62" s="32"/>
      <c r="G62" s="32" t="s">
        <v>42</v>
      </c>
      <c r="H62" s="75">
        <f>_xlfn.IFNA(VLOOKUP(Output_Table[[#This Row],[Progress]],ProgressCalculation_List,6,FALSE),"")</f>
        <v>1.0000000000000002</v>
      </c>
      <c r="I62" s="76"/>
      <c r="J62" s="78">
        <v>43147</v>
      </c>
      <c r="K62" s="79">
        <v>8</v>
      </c>
      <c r="L62" s="81"/>
      <c r="M62" s="44">
        <v>43129.65625</v>
      </c>
      <c r="N62" s="53"/>
      <c r="O62" s="29"/>
      <c r="P62" s="29"/>
      <c r="Q62" s="29" t="s">
        <v>91</v>
      </c>
      <c r="R62" s="53">
        <v>2018</v>
      </c>
      <c r="S62" s="32" t="str">
        <f>TEXT(_xlfn.IFNA(VLOOKUP(Output_Table[[#This Row],[Month (Plan)]],OutupMonth_Table[#All],2,FALSE),""),"00")</f>
        <v>02</v>
      </c>
    </row>
    <row r="63" spans="1:19" x14ac:dyDescent="0.25">
      <c r="A63" s="67" t="s">
        <v>174</v>
      </c>
      <c r="B63" s="51">
        <v>43130</v>
      </c>
      <c r="C63" s="29">
        <v>8</v>
      </c>
      <c r="D63" s="32" t="s">
        <v>5</v>
      </c>
      <c r="E63" s="32" t="s">
        <v>180</v>
      </c>
      <c r="F63" s="40">
        <v>43136</v>
      </c>
      <c r="G63" s="32" t="s">
        <v>42</v>
      </c>
      <c r="H63" s="75">
        <f>_xlfn.IFNA(VLOOKUP(Output_Table[[#This Row],[Progress]],ProgressCalculation_List,6,FALSE),"")</f>
        <v>1.0000000000000002</v>
      </c>
      <c r="I63" s="76"/>
      <c r="J63" s="78">
        <v>43147</v>
      </c>
      <c r="K63" s="79">
        <v>8</v>
      </c>
      <c r="L63" s="81"/>
      <c r="M63" s="44">
        <v>43130.65625</v>
      </c>
      <c r="N63" s="53"/>
      <c r="O63" s="29"/>
      <c r="P63" s="29"/>
      <c r="Q63" s="29" t="s">
        <v>91</v>
      </c>
      <c r="R63" s="53">
        <v>2018</v>
      </c>
      <c r="S63" s="32" t="str">
        <f>TEXT(_xlfn.IFNA(VLOOKUP(Output_Table[[#This Row],[Month (Plan)]],OutupMonth_Table[#All],2,FALSE),""),"00")</f>
        <v>02</v>
      </c>
    </row>
    <row r="64" spans="1:19" ht="45" x14ac:dyDescent="0.25">
      <c r="A64" s="67" t="s">
        <v>175</v>
      </c>
      <c r="B64" s="40">
        <v>43130</v>
      </c>
      <c r="C64" s="32">
        <v>8</v>
      </c>
      <c r="D64" s="32" t="s">
        <v>5</v>
      </c>
      <c r="E64" s="32" t="s">
        <v>179</v>
      </c>
      <c r="F64" s="40">
        <v>43136</v>
      </c>
      <c r="G64" s="32" t="s">
        <v>42</v>
      </c>
      <c r="H64" s="75">
        <f>_xlfn.IFNA(VLOOKUP(Output_Table[[#This Row],[Progress]],ProgressCalculation_List,6,FALSE),"")</f>
        <v>1.0000000000000002</v>
      </c>
      <c r="I64" s="76"/>
      <c r="J64" s="78">
        <v>43147</v>
      </c>
      <c r="K64" s="79">
        <v>7</v>
      </c>
      <c r="L64" s="35" t="s">
        <v>182</v>
      </c>
      <c r="M64" s="44">
        <v>43133.5</v>
      </c>
      <c r="N64" s="53"/>
      <c r="O64" s="29">
        <v>0</v>
      </c>
      <c r="P64" s="29">
        <v>0</v>
      </c>
      <c r="Q64" s="29" t="s">
        <v>92</v>
      </c>
      <c r="R64" s="53">
        <v>2018</v>
      </c>
      <c r="S64" s="32" t="str">
        <f>TEXT(_xlfn.IFNA(VLOOKUP(Output_Table[[#This Row],[Month (Plan)]],OutupMonth_Table[#All],2,FALSE),""),"00")</f>
        <v>03</v>
      </c>
    </row>
    <row r="65" spans="1:19" x14ac:dyDescent="0.25">
      <c r="A65" s="67" t="s">
        <v>181</v>
      </c>
      <c r="B65" s="40">
        <v>43138</v>
      </c>
      <c r="C65" s="32">
        <v>8</v>
      </c>
      <c r="D65" s="32" t="s">
        <v>5</v>
      </c>
      <c r="E65" s="32"/>
      <c r="F65" s="32"/>
      <c r="G65" s="32" t="s">
        <v>42</v>
      </c>
      <c r="H65" s="75">
        <f>_xlfn.IFNA(VLOOKUP(Output_Table[[#This Row],[Progress]],ProgressCalculation_List,6,FALSE),"")</f>
        <v>1.0000000000000002</v>
      </c>
      <c r="I65" s="76"/>
      <c r="J65" s="78">
        <v>43154</v>
      </c>
      <c r="K65" s="79">
        <v>8</v>
      </c>
      <c r="L65" s="81"/>
      <c r="M65" s="44">
        <v>43139.585416666669</v>
      </c>
      <c r="N65" s="53"/>
      <c r="O65" s="29"/>
      <c r="P65" s="29"/>
      <c r="Q65" s="29" t="s">
        <v>92</v>
      </c>
      <c r="R65" s="53">
        <v>2018</v>
      </c>
      <c r="S65" s="32" t="str">
        <f>TEXT(_xlfn.IFNA(VLOOKUP(Output_Table[[#This Row],[Month (Plan)]],OutupMonth_Table[#All],2,FALSE),""),"00")</f>
        <v>03</v>
      </c>
    </row>
    <row r="66" spans="1:19" x14ac:dyDescent="0.25">
      <c r="A66" s="67"/>
      <c r="B66" s="40"/>
      <c r="C66" s="32"/>
      <c r="D66" s="32"/>
      <c r="E66" s="32"/>
      <c r="F66" s="32"/>
      <c r="G66" s="32" t="s">
        <v>176</v>
      </c>
      <c r="H66" s="75">
        <f>_xlfn.IFNA(VLOOKUP(Output_Table[[#This Row],[Progress]],ProgressCalculation_List,6,FALSE),"")</f>
        <v>0</v>
      </c>
      <c r="I66" s="76"/>
      <c r="J66" s="78"/>
      <c r="K66" s="79"/>
      <c r="L66" s="81"/>
      <c r="M66" s="32"/>
      <c r="N66" s="136" t="s">
        <v>184</v>
      </c>
      <c r="O66" s="29">
        <v>0</v>
      </c>
      <c r="P66" s="29">
        <v>0</v>
      </c>
      <c r="Q66" s="29" t="s">
        <v>93</v>
      </c>
      <c r="R66" s="53">
        <v>2018</v>
      </c>
      <c r="S66" s="32" t="str">
        <f>TEXT(_xlfn.IFNA(VLOOKUP(Output_Table[[#This Row],[Month (Plan)]],OutupMonth_Table[#All],2,FALSE),""),"00")</f>
        <v>04</v>
      </c>
    </row>
    <row r="67" spans="1:19" x14ac:dyDescent="0.25">
      <c r="A67" s="67"/>
      <c r="B67" s="40"/>
      <c r="C67" s="32"/>
      <c r="D67" s="32"/>
      <c r="E67" s="32"/>
      <c r="F67" s="32"/>
      <c r="G67" s="32" t="s">
        <v>176</v>
      </c>
      <c r="H67" s="75">
        <f>_xlfn.IFNA(VLOOKUP(Output_Table[[#This Row],[Progress]],ProgressCalculation_List,6,FALSE),"")</f>
        <v>0</v>
      </c>
      <c r="I67" s="76"/>
      <c r="J67" s="78"/>
      <c r="K67" s="79"/>
      <c r="L67" s="81"/>
      <c r="M67" s="32"/>
      <c r="N67" s="136" t="s">
        <v>184</v>
      </c>
      <c r="O67" s="29">
        <v>0</v>
      </c>
      <c r="P67" s="29">
        <v>0</v>
      </c>
      <c r="Q67" s="29" t="s">
        <v>94</v>
      </c>
      <c r="R67" s="53">
        <v>2018</v>
      </c>
      <c r="S67" s="32" t="str">
        <f>TEXT(_xlfn.IFNA(VLOOKUP(Output_Table[[#This Row],[Month (Plan)]],OutupMonth_Table[#All],2,FALSE),""),"00")</f>
        <v>05</v>
      </c>
    </row>
    <row r="68" spans="1:19" ht="60" x14ac:dyDescent="0.25">
      <c r="A68" s="67" t="s">
        <v>183</v>
      </c>
      <c r="B68" s="40">
        <v>43223</v>
      </c>
      <c r="C68" s="32">
        <v>8</v>
      </c>
      <c r="D68" s="32" t="s">
        <v>5</v>
      </c>
      <c r="E68" s="32"/>
      <c r="F68" s="32"/>
      <c r="G68" s="32" t="s">
        <v>42</v>
      </c>
      <c r="H68" s="75">
        <f>_xlfn.IFNA(VLOOKUP(Output_Table[[#This Row],[Progress]],ProgressCalculation_List,6,FALSE),"")</f>
        <v>1.0000000000000002</v>
      </c>
      <c r="I68" s="76" t="s">
        <v>217</v>
      </c>
      <c r="J68" s="78">
        <v>43257</v>
      </c>
      <c r="K68" s="79">
        <v>8</v>
      </c>
      <c r="L68" s="81"/>
      <c r="M68" s="44">
        <v>43243.493055555555</v>
      </c>
      <c r="N68" s="131" t="s">
        <v>188</v>
      </c>
      <c r="O68" s="29">
        <v>0</v>
      </c>
      <c r="P68" s="29">
        <v>0</v>
      </c>
      <c r="Q68" s="29" t="s">
        <v>95</v>
      </c>
      <c r="R68" s="53">
        <v>2018</v>
      </c>
      <c r="S68" s="32" t="str">
        <f>TEXT(_xlfn.IFNA(VLOOKUP(Output_Table[[#This Row],[Month (Plan)]],OutupMonth_Table[#All],2,FALSE),""),"00")</f>
        <v>06</v>
      </c>
    </row>
    <row r="69" spans="1:19" x14ac:dyDescent="0.25">
      <c r="A69" s="67" t="s">
        <v>185</v>
      </c>
      <c r="B69" s="40">
        <v>43249</v>
      </c>
      <c r="C69" s="32">
        <v>8</v>
      </c>
      <c r="D69" s="32" t="s">
        <v>5</v>
      </c>
      <c r="E69" s="32" t="s">
        <v>189</v>
      </c>
      <c r="F69" s="40">
        <v>43250</v>
      </c>
      <c r="G69" s="32" t="s">
        <v>42</v>
      </c>
      <c r="H69" s="75">
        <f>_xlfn.IFNA(VLOOKUP(Output_Table[[#This Row],[Progress]],ProgressCalculation_List,6,FALSE),"")</f>
        <v>1.0000000000000002</v>
      </c>
      <c r="I69" s="76" t="s">
        <v>217</v>
      </c>
      <c r="J69" s="78">
        <v>43266</v>
      </c>
      <c r="K69" s="79">
        <v>8</v>
      </c>
      <c r="L69" s="81"/>
      <c r="M69" s="44">
        <v>43252.5</v>
      </c>
      <c r="N69" s="53"/>
      <c r="O69" s="29"/>
      <c r="P69" s="29"/>
      <c r="Q69" s="29" t="s">
        <v>95</v>
      </c>
      <c r="R69" s="53">
        <v>2018</v>
      </c>
      <c r="S69" s="32" t="str">
        <f>TEXT(_xlfn.IFNA(VLOOKUP(Output_Table[[#This Row],[Month (Plan)]],OutupMonth_Table[#All],2,FALSE),""),"00")</f>
        <v>06</v>
      </c>
    </row>
    <row r="70" spans="1:19" x14ac:dyDescent="0.25">
      <c r="A70" s="67" t="s">
        <v>186</v>
      </c>
      <c r="B70" s="40">
        <v>43249</v>
      </c>
      <c r="C70" s="32">
        <v>8</v>
      </c>
      <c r="D70" s="32" t="s">
        <v>5</v>
      </c>
      <c r="E70" s="32" t="s">
        <v>192</v>
      </c>
      <c r="F70" s="32"/>
      <c r="G70" s="32" t="s">
        <v>42</v>
      </c>
      <c r="H70" s="75">
        <f>_xlfn.IFNA(VLOOKUP(Output_Table[[#This Row],[Progress]],ProgressCalculation_List,6,FALSE),"")</f>
        <v>1.0000000000000002</v>
      </c>
      <c r="I70" s="76" t="s">
        <v>217</v>
      </c>
      <c r="J70" s="78">
        <v>43273</v>
      </c>
      <c r="K70" s="79">
        <v>8</v>
      </c>
      <c r="L70" s="81"/>
      <c r="M70" s="44">
        <v>43259.5</v>
      </c>
      <c r="N70" s="53"/>
      <c r="O70" s="29">
        <v>0</v>
      </c>
      <c r="P70" s="29">
        <v>0</v>
      </c>
      <c r="Q70" s="29" t="s">
        <v>96</v>
      </c>
      <c r="R70" s="53">
        <v>2018</v>
      </c>
      <c r="S70" s="32" t="str">
        <f>TEXT(_xlfn.IFNA(VLOOKUP(Output_Table[[#This Row],[Month (Plan)]],OutupMonth_Table[#All],2,FALSE),""),"00")</f>
        <v>07</v>
      </c>
    </row>
    <row r="71" spans="1:19" x14ac:dyDescent="0.25">
      <c r="A71" s="67" t="s">
        <v>187</v>
      </c>
      <c r="B71" s="40">
        <v>43249</v>
      </c>
      <c r="C71" s="32">
        <v>8</v>
      </c>
      <c r="D71" s="32" t="s">
        <v>5</v>
      </c>
      <c r="E71" s="32"/>
      <c r="F71" s="32"/>
      <c r="G71" s="32" t="s">
        <v>42</v>
      </c>
      <c r="H71" s="75">
        <f>_xlfn.IFNA(VLOOKUP(Output_Table[[#This Row],[Progress]],ProgressCalculation_List,6,FALSE),"")</f>
        <v>1.0000000000000002</v>
      </c>
      <c r="I71" s="76" t="s">
        <v>217</v>
      </c>
      <c r="J71" s="78">
        <v>43315</v>
      </c>
      <c r="K71" s="79">
        <v>7</v>
      </c>
      <c r="L71" s="81" t="s">
        <v>198</v>
      </c>
      <c r="M71" s="49"/>
      <c r="N71" s="53"/>
      <c r="O71" s="29"/>
      <c r="P71" s="29"/>
      <c r="Q71" s="29" t="s">
        <v>96</v>
      </c>
      <c r="R71" s="53">
        <v>2018</v>
      </c>
      <c r="S71" s="32" t="str">
        <f>TEXT(_xlfn.IFNA(VLOOKUP(Output_Table[[#This Row],[Month (Plan)]],OutupMonth_Table[#All],2,FALSE),""),"00")</f>
        <v>07</v>
      </c>
    </row>
    <row r="72" spans="1:19" x14ac:dyDescent="0.25">
      <c r="A72" s="67" t="s">
        <v>190</v>
      </c>
      <c r="B72" s="40">
        <v>43291</v>
      </c>
      <c r="C72" s="32">
        <v>8</v>
      </c>
      <c r="D72" s="32" t="s">
        <v>5</v>
      </c>
      <c r="E72" s="32" t="s">
        <v>193</v>
      </c>
      <c r="F72" s="40">
        <v>43292</v>
      </c>
      <c r="G72" s="32" t="s">
        <v>42</v>
      </c>
      <c r="H72" s="75">
        <f>_xlfn.IFNA(VLOOKUP(Output_Table[[#This Row],[Progress]],ProgressCalculation_List,6,FALSE),"")</f>
        <v>1.0000000000000002</v>
      </c>
      <c r="I72" s="76" t="s">
        <v>217</v>
      </c>
      <c r="J72" s="78">
        <v>43315</v>
      </c>
      <c r="K72" s="79">
        <v>8</v>
      </c>
      <c r="L72" s="81"/>
      <c r="M72" s="32"/>
      <c r="N72" s="53"/>
      <c r="O72" s="29">
        <v>25</v>
      </c>
      <c r="P72" s="29">
        <v>56</v>
      </c>
      <c r="Q72" s="29" t="s">
        <v>97</v>
      </c>
      <c r="R72" s="53">
        <v>2018</v>
      </c>
      <c r="S72" s="32" t="str">
        <f>TEXT(_xlfn.IFNA(VLOOKUP(Output_Table[[#This Row],[Month (Plan)]],OutupMonth_Table[#All],2,FALSE),""),"00")</f>
        <v>08</v>
      </c>
    </row>
    <row r="73" spans="1:19" ht="30" x14ac:dyDescent="0.25">
      <c r="A73" s="67" t="s">
        <v>191</v>
      </c>
      <c r="B73" s="40">
        <v>43291</v>
      </c>
      <c r="C73" s="32">
        <v>8</v>
      </c>
      <c r="D73" s="32" t="s">
        <v>5</v>
      </c>
      <c r="E73" s="41" t="s">
        <v>224</v>
      </c>
      <c r="F73" s="32"/>
      <c r="G73" s="32" t="s">
        <v>42</v>
      </c>
      <c r="H73" s="75">
        <f>_xlfn.IFNA(VLOOKUP(Output_Table[[#This Row],[Progress]],ProgressCalculation_List,6,FALSE),"")</f>
        <v>1.0000000000000002</v>
      </c>
      <c r="I73" s="76" t="s">
        <v>217</v>
      </c>
      <c r="J73" s="78">
        <v>43329</v>
      </c>
      <c r="K73" s="79">
        <v>8</v>
      </c>
      <c r="L73" s="81"/>
      <c r="M73" s="32"/>
      <c r="N73" s="53" t="s">
        <v>209</v>
      </c>
      <c r="O73" s="29"/>
      <c r="P73" s="29"/>
      <c r="Q73" s="29" t="s">
        <v>97</v>
      </c>
      <c r="R73" s="53">
        <v>2018</v>
      </c>
      <c r="S73" s="32" t="str">
        <f>TEXT(_xlfn.IFNA(VLOOKUP(Output_Table[[#This Row],[Month (Plan)]],OutupMonth_Table[#All],2,FALSE),""),"00")</f>
        <v>08</v>
      </c>
    </row>
    <row r="74" spans="1:19" ht="30" x14ac:dyDescent="0.25">
      <c r="A74" s="67" t="s">
        <v>194</v>
      </c>
      <c r="B74" s="40">
        <v>43305</v>
      </c>
      <c r="C74" s="32">
        <v>8</v>
      </c>
      <c r="D74" s="32" t="s">
        <v>5</v>
      </c>
      <c r="E74" s="32"/>
      <c r="F74" s="32"/>
      <c r="G74" s="32" t="s">
        <v>42</v>
      </c>
      <c r="H74" s="75">
        <f>_xlfn.IFNA(VLOOKUP(Output_Table[[#This Row],[Progress]],ProgressCalculation_List,6,FALSE),"")</f>
        <v>1.0000000000000002</v>
      </c>
      <c r="I74" s="76" t="s">
        <v>217</v>
      </c>
      <c r="J74" s="78">
        <v>43333</v>
      </c>
      <c r="K74" s="79">
        <v>8</v>
      </c>
      <c r="L74" s="81"/>
      <c r="M74" s="32"/>
      <c r="N74" s="131" t="s">
        <v>210</v>
      </c>
      <c r="O74" s="29"/>
      <c r="P74" s="29"/>
      <c r="Q74" s="29" t="s">
        <v>97</v>
      </c>
      <c r="R74" s="53">
        <v>2018</v>
      </c>
      <c r="S74" s="32" t="str">
        <f>TEXT(_xlfn.IFNA(VLOOKUP(Output_Table[[#This Row],[Month (Plan)]],OutupMonth_Table[#All],2,FALSE),""),"00")</f>
        <v>08</v>
      </c>
    </row>
    <row r="75" spans="1:19" x14ac:dyDescent="0.25">
      <c r="A75" s="67" t="s">
        <v>196</v>
      </c>
      <c r="B75" s="40">
        <v>43307</v>
      </c>
      <c r="C75" s="32">
        <v>8</v>
      </c>
      <c r="D75" s="32" t="s">
        <v>5</v>
      </c>
      <c r="E75" s="32"/>
      <c r="F75" s="32"/>
      <c r="G75" s="32" t="s">
        <v>42</v>
      </c>
      <c r="H75" s="75">
        <f>_xlfn.IFNA(VLOOKUP(Output_Table[[#This Row],[Progress]],ProgressCalculation_List,6,FALSE),"")</f>
        <v>1.0000000000000002</v>
      </c>
      <c r="I75" s="76" t="s">
        <v>217</v>
      </c>
      <c r="J75" s="78">
        <v>43322</v>
      </c>
      <c r="K75" s="79">
        <v>8</v>
      </c>
      <c r="L75" s="81"/>
      <c r="M75" s="32"/>
      <c r="N75" s="53" t="s">
        <v>197</v>
      </c>
      <c r="O75" s="29"/>
      <c r="P75" s="29"/>
      <c r="Q75" s="29" t="s">
        <v>97</v>
      </c>
      <c r="R75" s="53">
        <v>2018</v>
      </c>
      <c r="S75" s="32" t="str">
        <f>TEXT(_xlfn.IFNA(VLOOKUP(Output_Table[[#This Row],[Month (Plan)]],OutupMonth_Table[#All],2,FALSE),""),"00")</f>
        <v>08</v>
      </c>
    </row>
    <row r="76" spans="1:19" ht="45" x14ac:dyDescent="0.25">
      <c r="A76" s="67" t="s">
        <v>195</v>
      </c>
      <c r="B76" s="40">
        <v>43307</v>
      </c>
      <c r="C76" s="32">
        <v>8</v>
      </c>
      <c r="D76" s="32" t="s">
        <v>5</v>
      </c>
      <c r="E76" s="32"/>
      <c r="F76" s="32"/>
      <c r="G76" s="32" t="s">
        <v>42</v>
      </c>
      <c r="H76" s="75">
        <f>_xlfn.IFNA(VLOOKUP(Output_Table[[#This Row],[Progress]],ProgressCalculation_List,6,FALSE),"")</f>
        <v>1.0000000000000002</v>
      </c>
      <c r="I76" s="76" t="s">
        <v>217</v>
      </c>
      <c r="J76" s="78">
        <v>43326</v>
      </c>
      <c r="K76" s="79">
        <v>8</v>
      </c>
      <c r="L76" s="81"/>
      <c r="M76" s="32"/>
      <c r="N76" s="131" t="s">
        <v>211</v>
      </c>
      <c r="O76" s="29"/>
      <c r="P76" s="29"/>
      <c r="Q76" s="29" t="s">
        <v>97</v>
      </c>
      <c r="R76" s="53">
        <v>2018</v>
      </c>
      <c r="S76" s="32" t="str">
        <f>TEXT(_xlfn.IFNA(VLOOKUP(Output_Table[[#This Row],[Month (Plan)]],OutupMonth_Table[#All],2,FALSE),""),"00")</f>
        <v>08</v>
      </c>
    </row>
    <row r="77" spans="1:19" x14ac:dyDescent="0.25">
      <c r="A77" s="67" t="s">
        <v>212</v>
      </c>
      <c r="B77" s="40">
        <v>43327</v>
      </c>
      <c r="C77" s="32">
        <v>8</v>
      </c>
      <c r="D77" s="32" t="s">
        <v>5</v>
      </c>
      <c r="E77" s="32"/>
      <c r="F77" s="32"/>
      <c r="G77" s="32" t="s">
        <v>42</v>
      </c>
      <c r="H77" s="75">
        <f>_xlfn.IFNA(VLOOKUP(Output_Table[[#This Row],[Progress]],ProgressCalculation_List,6,FALSE),"")</f>
        <v>1.0000000000000002</v>
      </c>
      <c r="I77" s="77" t="s">
        <v>217</v>
      </c>
      <c r="J77" s="78">
        <v>43364</v>
      </c>
      <c r="K77" s="79">
        <v>8</v>
      </c>
      <c r="L77" s="81"/>
      <c r="M77" s="44">
        <v>43329.5</v>
      </c>
      <c r="N77" s="131" t="s">
        <v>232</v>
      </c>
      <c r="O77" s="29">
        <v>9</v>
      </c>
      <c r="P77" s="29">
        <v>54</v>
      </c>
      <c r="Q77" s="29" t="s">
        <v>98</v>
      </c>
      <c r="R77" s="53">
        <v>2018</v>
      </c>
      <c r="S77" s="32" t="str">
        <f>TEXT(_xlfn.IFNA(VLOOKUP(Output_Table[[#This Row],[Month (Plan)]],OutupMonth_Table[#All],2,FALSE),""),"00")</f>
        <v>09</v>
      </c>
    </row>
    <row r="78" spans="1:19" ht="30" x14ac:dyDescent="0.25">
      <c r="A78" s="67" t="s">
        <v>213</v>
      </c>
      <c r="B78" s="40">
        <v>43327</v>
      </c>
      <c r="C78" s="32">
        <v>8</v>
      </c>
      <c r="D78" s="32" t="s">
        <v>5</v>
      </c>
      <c r="E78" s="35"/>
      <c r="F78" s="32"/>
      <c r="G78" s="32" t="s">
        <v>42</v>
      </c>
      <c r="H78" s="75">
        <f>_xlfn.IFNA(VLOOKUP(Output_Table[[#This Row],[Progress]],ProgressCalculation_List,6,FALSE),"")</f>
        <v>1.0000000000000002</v>
      </c>
      <c r="I78" s="76" t="s">
        <v>217</v>
      </c>
      <c r="J78" s="78">
        <v>43364</v>
      </c>
      <c r="K78" s="79">
        <v>7</v>
      </c>
      <c r="L78" s="81" t="s">
        <v>234</v>
      </c>
      <c r="M78" s="44">
        <v>43329.5</v>
      </c>
      <c r="N78" s="131" t="s">
        <v>218</v>
      </c>
      <c r="O78" s="29"/>
      <c r="P78" s="29"/>
      <c r="Q78" s="29" t="s">
        <v>98</v>
      </c>
      <c r="R78" s="53">
        <v>2018</v>
      </c>
      <c r="S78" s="32" t="str">
        <f>TEXT(_xlfn.IFNA(VLOOKUP(Output_Table[[#This Row],[Month (Plan)]],OutupMonth_Table[#All],2,FALSE),""),"00")</f>
        <v>09</v>
      </c>
    </row>
    <row r="79" spans="1:19" ht="45" x14ac:dyDescent="0.25">
      <c r="A79" s="67" t="s">
        <v>214</v>
      </c>
      <c r="B79" s="40">
        <v>43328</v>
      </c>
      <c r="C79" s="32">
        <v>8</v>
      </c>
      <c r="D79" s="32" t="s">
        <v>5</v>
      </c>
      <c r="E79" s="32"/>
      <c r="F79" s="32"/>
      <c r="G79" s="32" t="s">
        <v>42</v>
      </c>
      <c r="H79" s="75">
        <f>_xlfn.IFNA(VLOOKUP(Output_Table[[#This Row],[Progress]],ProgressCalculation_List,6,FALSE),"")</f>
        <v>1.0000000000000002</v>
      </c>
      <c r="I79" s="76" t="s">
        <v>217</v>
      </c>
      <c r="J79" s="78">
        <v>43356</v>
      </c>
      <c r="K79" s="79">
        <v>8</v>
      </c>
      <c r="L79" s="81"/>
      <c r="M79" s="44">
        <v>43332.5</v>
      </c>
      <c r="N79" s="131" t="s">
        <v>231</v>
      </c>
      <c r="O79" s="29"/>
      <c r="P79" s="29"/>
      <c r="Q79" s="29" t="s">
        <v>98</v>
      </c>
      <c r="R79" s="53">
        <v>2018</v>
      </c>
      <c r="S79" s="32" t="str">
        <f>TEXT(_xlfn.IFNA(VLOOKUP(Output_Table[[#This Row],[Month (Plan)]],OutupMonth_Table[#All],2,FALSE),""),"00")</f>
        <v>09</v>
      </c>
    </row>
    <row r="80" spans="1:19" x14ac:dyDescent="0.25">
      <c r="A80" s="67" t="s">
        <v>219</v>
      </c>
      <c r="B80" s="40">
        <v>43353</v>
      </c>
      <c r="C80" s="32">
        <v>8</v>
      </c>
      <c r="D80" s="32" t="s">
        <v>5</v>
      </c>
      <c r="E80" s="32" t="s">
        <v>225</v>
      </c>
      <c r="F80" s="40">
        <v>43360</v>
      </c>
      <c r="G80" s="32" t="s">
        <v>42</v>
      </c>
      <c r="H80" s="75">
        <f>_xlfn.IFNA(VLOOKUP(Output_Table[[#This Row],[Progress]],ProgressCalculation_List,6,FALSE),"")</f>
        <v>1.0000000000000002</v>
      </c>
      <c r="I80" s="76" t="s">
        <v>217</v>
      </c>
      <c r="J80" s="78">
        <v>43370</v>
      </c>
      <c r="K80" s="79">
        <v>8</v>
      </c>
      <c r="L80" s="81"/>
      <c r="M80" s="40">
        <v>43356</v>
      </c>
      <c r="N80" s="131" t="s">
        <v>240</v>
      </c>
      <c r="O80" s="29"/>
      <c r="P80" s="29"/>
      <c r="Q80" s="29" t="s">
        <v>98</v>
      </c>
      <c r="R80" s="53">
        <v>2018</v>
      </c>
      <c r="S80" s="32" t="str">
        <f>TEXT(_xlfn.IFNA(VLOOKUP(Output_Table[[#This Row],[Month (Plan)]],OutupMonth_Table[#All],2,FALSE),""),"00")</f>
        <v>09</v>
      </c>
    </row>
    <row r="81" spans="1:19" ht="30" x14ac:dyDescent="0.25">
      <c r="A81" s="67" t="s">
        <v>220</v>
      </c>
      <c r="B81" s="40">
        <v>43353</v>
      </c>
      <c r="C81" s="32">
        <v>8</v>
      </c>
      <c r="D81" s="32" t="s">
        <v>5</v>
      </c>
      <c r="E81" s="32" t="s">
        <v>225</v>
      </c>
      <c r="F81" s="40">
        <v>43360</v>
      </c>
      <c r="G81" s="32" t="s">
        <v>42</v>
      </c>
      <c r="H81" s="75">
        <f>_xlfn.IFNA(VLOOKUP(Output_Table[[#This Row],[Progress]],ProgressCalculation_List,6,FALSE),"")</f>
        <v>1.0000000000000002</v>
      </c>
      <c r="I81" s="76" t="s">
        <v>217</v>
      </c>
      <c r="J81" s="78">
        <v>43370</v>
      </c>
      <c r="K81" s="79">
        <v>8</v>
      </c>
      <c r="L81" s="81"/>
      <c r="M81" s="40">
        <v>43357</v>
      </c>
      <c r="N81" s="131" t="s">
        <v>239</v>
      </c>
      <c r="O81" s="29"/>
      <c r="P81" s="29"/>
      <c r="Q81" s="29" t="s">
        <v>98</v>
      </c>
      <c r="R81" s="53">
        <v>2018</v>
      </c>
      <c r="S81" s="32" t="str">
        <f>TEXT(_xlfn.IFNA(VLOOKUP(Output_Table[[#This Row],[Month (Plan)]],OutupMonth_Table[#All],2,FALSE),""),"00")</f>
        <v>09</v>
      </c>
    </row>
    <row r="82" spans="1:19" x14ac:dyDescent="0.25">
      <c r="A82" s="67" t="s">
        <v>221</v>
      </c>
      <c r="B82" s="40">
        <v>43355</v>
      </c>
      <c r="C82" s="32">
        <v>8</v>
      </c>
      <c r="D82" s="32" t="s">
        <v>5</v>
      </c>
      <c r="E82" s="32" t="s">
        <v>225</v>
      </c>
      <c r="F82" s="40">
        <v>43360</v>
      </c>
      <c r="G82" s="32" t="s">
        <v>42</v>
      </c>
      <c r="H82" s="75">
        <f>_xlfn.IFNA(VLOOKUP(Output_Table[[#This Row],[Progress]],ProgressCalculation_List,6,FALSE),"")</f>
        <v>1.0000000000000002</v>
      </c>
      <c r="I82" s="76" t="s">
        <v>217</v>
      </c>
      <c r="J82" s="78">
        <v>43377</v>
      </c>
      <c r="K82" s="79">
        <v>8</v>
      </c>
      <c r="L82" s="81"/>
      <c r="M82" s="44">
        <v>43360.625</v>
      </c>
      <c r="N82" s="53"/>
      <c r="O82" s="29">
        <v>0</v>
      </c>
      <c r="P82" s="29">
        <v>82</v>
      </c>
      <c r="Q82" s="29" t="s">
        <v>76</v>
      </c>
      <c r="R82" s="53">
        <v>2018</v>
      </c>
      <c r="S82" s="32" t="str">
        <f>TEXT(_xlfn.IFNA(VLOOKUP(Output_Table[[#This Row],[Month (Plan)]],OutupMonth_Table[#All],2,FALSE),""),"00")</f>
        <v>10</v>
      </c>
    </row>
    <row r="83" spans="1:19" x14ac:dyDescent="0.25">
      <c r="A83" s="67" t="s">
        <v>222</v>
      </c>
      <c r="B83" s="40">
        <v>43355</v>
      </c>
      <c r="C83" s="32">
        <v>8</v>
      </c>
      <c r="D83" s="32" t="s">
        <v>5</v>
      </c>
      <c r="E83" s="32" t="s">
        <v>225</v>
      </c>
      <c r="F83" s="40">
        <v>43360</v>
      </c>
      <c r="G83" s="32" t="s">
        <v>42</v>
      </c>
      <c r="H83" s="75">
        <f>_xlfn.IFNA(VLOOKUP(Output_Table[[#This Row],[Progress]],ProgressCalculation_List,6,FALSE),"")</f>
        <v>1.0000000000000002</v>
      </c>
      <c r="I83" s="76" t="s">
        <v>217</v>
      </c>
      <c r="J83" s="78">
        <v>43377</v>
      </c>
      <c r="K83" s="79">
        <v>8</v>
      </c>
      <c r="L83" s="81"/>
      <c r="M83" s="44">
        <v>43361.541666666664</v>
      </c>
      <c r="N83" s="53"/>
      <c r="O83" s="29"/>
      <c r="P83" s="29"/>
      <c r="Q83" s="29" t="s">
        <v>76</v>
      </c>
      <c r="R83" s="53">
        <v>2018</v>
      </c>
      <c r="S83" s="32" t="str">
        <f>TEXT(_xlfn.IFNA(VLOOKUP(Output_Table[[#This Row],[Month (Plan)]],OutupMonth_Table[#All],2,FALSE),""),"00")</f>
        <v>10</v>
      </c>
    </row>
    <row r="84" spans="1:19" x14ac:dyDescent="0.25">
      <c r="A84" s="67" t="s">
        <v>223</v>
      </c>
      <c r="B84" s="40">
        <v>43355</v>
      </c>
      <c r="C84" s="32">
        <v>8</v>
      </c>
      <c r="D84" s="32" t="s">
        <v>5</v>
      </c>
      <c r="E84" s="32" t="s">
        <v>225</v>
      </c>
      <c r="F84" s="40">
        <v>43360</v>
      </c>
      <c r="G84" s="32" t="s">
        <v>42</v>
      </c>
      <c r="H84" s="75">
        <f>_xlfn.IFNA(VLOOKUP(Output_Table[[#This Row],[Progress]],ProgressCalculation_List,6,FALSE),"")</f>
        <v>1.0000000000000002</v>
      </c>
      <c r="I84" s="76" t="s">
        <v>217</v>
      </c>
      <c r="J84" s="78">
        <v>43384</v>
      </c>
      <c r="K84" s="79">
        <v>8</v>
      </c>
      <c r="L84" s="81"/>
      <c r="M84" s="44">
        <v>43367.604166666664</v>
      </c>
      <c r="N84" s="131"/>
      <c r="O84" s="29"/>
      <c r="P84" s="29"/>
      <c r="Q84" s="29" t="s">
        <v>76</v>
      </c>
      <c r="R84" s="53">
        <v>2018</v>
      </c>
      <c r="S84" s="32" t="str">
        <f>TEXT(_xlfn.IFNA(VLOOKUP(Output_Table[[#This Row],[Month (Plan)]],OutupMonth_Table[#All],2,FALSE),""),"00")</f>
        <v>10</v>
      </c>
    </row>
    <row r="85" spans="1:19" ht="30" x14ac:dyDescent="0.25">
      <c r="A85" s="67" t="s">
        <v>226</v>
      </c>
      <c r="B85" s="40">
        <v>43360</v>
      </c>
      <c r="C85" s="32">
        <v>8</v>
      </c>
      <c r="D85" s="32" t="s">
        <v>5</v>
      </c>
      <c r="E85" s="41" t="s">
        <v>246</v>
      </c>
      <c r="F85" s="86" t="s">
        <v>247</v>
      </c>
      <c r="G85" s="32" t="s">
        <v>42</v>
      </c>
      <c r="H85" s="75">
        <f>_xlfn.IFNA(VLOOKUP(Output_Table[[#This Row],[Progress]],ProgressCalculation_List,6,FALSE),"")</f>
        <v>1.0000000000000002</v>
      </c>
      <c r="I85" s="76" t="s">
        <v>217</v>
      </c>
      <c r="J85" s="78">
        <v>43398</v>
      </c>
      <c r="K85" s="79">
        <v>8</v>
      </c>
      <c r="L85" s="81"/>
      <c r="M85" s="32"/>
      <c r="N85" s="133"/>
      <c r="O85" s="58"/>
      <c r="P85" s="58"/>
      <c r="Q85" s="29" t="s">
        <v>76</v>
      </c>
      <c r="R85" s="53">
        <v>2018</v>
      </c>
      <c r="S85" s="32" t="str">
        <f>TEXT(_xlfn.IFNA(VLOOKUP(Output_Table[[#This Row],[Month (Plan)]],OutupMonth_Table[#All],2,FALSE),""),"00")</f>
        <v>10</v>
      </c>
    </row>
    <row r="86" spans="1:19" x14ac:dyDescent="0.25">
      <c r="A86" s="67" t="s">
        <v>227</v>
      </c>
      <c r="B86" s="40">
        <v>43361</v>
      </c>
      <c r="C86" s="32">
        <v>8</v>
      </c>
      <c r="D86" s="32" t="s">
        <v>5</v>
      </c>
      <c r="E86" s="32"/>
      <c r="F86" s="32"/>
      <c r="G86" s="32" t="s">
        <v>42</v>
      </c>
      <c r="H86" s="75">
        <f>_xlfn.IFNA(VLOOKUP(Output_Table[[#This Row],[Progress]],ProgressCalculation_List,6,FALSE),"")</f>
        <v>1.0000000000000002</v>
      </c>
      <c r="I86" s="76" t="s">
        <v>217</v>
      </c>
      <c r="J86" s="78">
        <v>43384</v>
      </c>
      <c r="K86" s="79">
        <v>8</v>
      </c>
      <c r="L86" s="81"/>
      <c r="M86" s="44">
        <v>43367.645833333336</v>
      </c>
      <c r="N86" s="131" t="s">
        <v>245</v>
      </c>
      <c r="O86" s="58"/>
      <c r="P86" s="58"/>
      <c r="Q86" s="29" t="s">
        <v>76</v>
      </c>
      <c r="R86" s="53">
        <v>2018</v>
      </c>
      <c r="S86" s="32" t="str">
        <f>TEXT(_xlfn.IFNA(VLOOKUP(Output_Table[[#This Row],[Month (Plan)]],OutupMonth_Table[#All],2,FALSE),""),"00")</f>
        <v>10</v>
      </c>
    </row>
    <row r="87" spans="1:19" ht="30" x14ac:dyDescent="0.25">
      <c r="A87" s="67" t="s">
        <v>228</v>
      </c>
      <c r="B87" s="40">
        <v>43361</v>
      </c>
      <c r="C87" s="32">
        <v>8</v>
      </c>
      <c r="D87" s="32" t="s">
        <v>5</v>
      </c>
      <c r="E87" s="41" t="s">
        <v>237</v>
      </c>
      <c r="F87" s="86" t="s">
        <v>241</v>
      </c>
      <c r="G87" s="32" t="s">
        <v>42</v>
      </c>
      <c r="H87" s="75">
        <f>_xlfn.IFNA(VLOOKUP(Output_Table[[#This Row],[Progress]],ProgressCalculation_List,6,FALSE),"")</f>
        <v>1.0000000000000002</v>
      </c>
      <c r="I87" s="76" t="s">
        <v>217</v>
      </c>
      <c r="J87" s="78">
        <v>43385</v>
      </c>
      <c r="K87" s="79">
        <v>8</v>
      </c>
      <c r="L87" s="81"/>
      <c r="M87" s="44">
        <v>43369.458333333336</v>
      </c>
      <c r="N87" s="131" t="s">
        <v>245</v>
      </c>
      <c r="O87" s="58"/>
      <c r="P87" s="58"/>
      <c r="Q87" s="29" t="s">
        <v>76</v>
      </c>
      <c r="R87" s="53">
        <v>2018</v>
      </c>
      <c r="S87" s="32" t="str">
        <f>TEXT(_xlfn.IFNA(VLOOKUP(Output_Table[[#This Row],[Month (Plan)]],OutupMonth_Table[#All],2,FALSE),""),"00")</f>
        <v>10</v>
      </c>
    </row>
    <row r="88" spans="1:19" ht="15" customHeight="1" x14ac:dyDescent="0.25">
      <c r="A88" s="67" t="s">
        <v>229</v>
      </c>
      <c r="B88" s="40">
        <v>43361</v>
      </c>
      <c r="C88" s="32">
        <v>8</v>
      </c>
      <c r="D88" s="32" t="s">
        <v>5</v>
      </c>
      <c r="E88" s="41" t="s">
        <v>238</v>
      </c>
      <c r="F88" s="45">
        <v>43362</v>
      </c>
      <c r="G88" s="32" t="s">
        <v>42</v>
      </c>
      <c r="H88" s="75">
        <f>_xlfn.IFNA(VLOOKUP(Output_Table[[#This Row],[Progress]],ProgressCalculation_List,6,FALSE),"")</f>
        <v>1.0000000000000002</v>
      </c>
      <c r="I88" s="76" t="s">
        <v>217</v>
      </c>
      <c r="J88" s="78">
        <v>43396</v>
      </c>
      <c r="K88" s="79">
        <v>8</v>
      </c>
      <c r="L88" s="81"/>
      <c r="M88" s="44">
        <v>43370.375</v>
      </c>
      <c r="N88" s="53" t="s">
        <v>243</v>
      </c>
      <c r="O88" s="58"/>
      <c r="P88" s="58"/>
      <c r="Q88" s="29" t="s">
        <v>76</v>
      </c>
      <c r="R88" s="53">
        <v>2018</v>
      </c>
      <c r="S88" s="32" t="str">
        <f>TEXT(_xlfn.IFNA(VLOOKUP(Output_Table[[#This Row],[Month (Plan)]],OutupMonth_Table[#All],2,FALSE),""),"00")</f>
        <v>10</v>
      </c>
    </row>
    <row r="89" spans="1:19" x14ac:dyDescent="0.25">
      <c r="A89" s="67" t="s">
        <v>230</v>
      </c>
      <c r="B89" s="40">
        <v>43361</v>
      </c>
      <c r="C89" s="32">
        <v>8</v>
      </c>
      <c r="D89" s="32" t="s">
        <v>5</v>
      </c>
      <c r="E89" s="32" t="s">
        <v>233</v>
      </c>
      <c r="F89" s="40">
        <v>43362</v>
      </c>
      <c r="G89" s="32" t="s">
        <v>42</v>
      </c>
      <c r="H89" s="75">
        <f>_xlfn.IFNA(VLOOKUP(Output_Table[[#This Row],[Progress]],ProgressCalculation_List,6,FALSE),"")</f>
        <v>1.0000000000000002</v>
      </c>
      <c r="I89" s="76" t="s">
        <v>217</v>
      </c>
      <c r="J89" s="78">
        <v>43396</v>
      </c>
      <c r="K89" s="79">
        <v>8</v>
      </c>
      <c r="L89" s="81"/>
      <c r="M89" s="44">
        <v>43370.645833333336</v>
      </c>
      <c r="N89" s="53" t="s">
        <v>243</v>
      </c>
      <c r="O89" s="58"/>
      <c r="P89" s="50"/>
      <c r="Q89" s="29" t="s">
        <v>76</v>
      </c>
      <c r="R89" s="53">
        <v>2018</v>
      </c>
      <c r="S89" s="32" t="str">
        <f>TEXT(_xlfn.IFNA(VLOOKUP(Output_Table[[#This Row],[Month (Plan)]],OutupMonth_Table[#All],2,FALSE),""),"00")</f>
        <v>10</v>
      </c>
    </row>
    <row r="90" spans="1:19" x14ac:dyDescent="0.25">
      <c r="A90" s="67" t="s">
        <v>242</v>
      </c>
      <c r="B90" s="40">
        <v>43383</v>
      </c>
      <c r="C90" s="32">
        <v>8</v>
      </c>
      <c r="D90" s="32" t="s">
        <v>5</v>
      </c>
      <c r="E90" s="32"/>
      <c r="F90" s="32"/>
      <c r="G90" s="32" t="s">
        <v>42</v>
      </c>
      <c r="H90" s="75">
        <f>_xlfn.IFNA(VLOOKUP(Output_Table[[#This Row],[Progress]],ProgressCalculation_List,6,FALSE),"")</f>
        <v>1.0000000000000002</v>
      </c>
      <c r="I90" s="83" t="s">
        <v>217</v>
      </c>
      <c r="J90" s="84">
        <v>43398</v>
      </c>
      <c r="K90" s="79">
        <v>8</v>
      </c>
      <c r="L90" s="81"/>
      <c r="M90" s="32"/>
      <c r="N90" s="53"/>
      <c r="O90" s="58"/>
      <c r="P90" s="50"/>
      <c r="Q90" s="32" t="s">
        <v>76</v>
      </c>
      <c r="R90" s="53">
        <v>2018</v>
      </c>
      <c r="S90" s="32" t="str">
        <f>TEXT(_xlfn.IFNA(VLOOKUP(Output_Table[[#This Row],[Month (Plan)]],OutupMonth_Table[#All],2,FALSE),""),"00")</f>
        <v>10</v>
      </c>
    </row>
    <row r="91" spans="1:19" x14ac:dyDescent="0.25">
      <c r="A91" s="67" t="s">
        <v>248</v>
      </c>
      <c r="B91" s="40">
        <v>43391</v>
      </c>
      <c r="C91" s="32">
        <v>8</v>
      </c>
      <c r="D91" s="32" t="s">
        <v>5</v>
      </c>
      <c r="E91" s="32"/>
      <c r="F91" s="32"/>
      <c r="G91" s="32" t="s">
        <v>42</v>
      </c>
      <c r="H91" s="75">
        <f>_xlfn.IFNA(VLOOKUP(Output_Table[[#This Row],[Progress]],ProgressCalculation_List,6,FALSE),"")</f>
        <v>1.0000000000000002</v>
      </c>
      <c r="I91" s="83" t="s">
        <v>217</v>
      </c>
      <c r="J91" s="84">
        <v>43404</v>
      </c>
      <c r="K91" s="79">
        <v>8</v>
      </c>
      <c r="L91" s="85"/>
      <c r="M91" s="32"/>
      <c r="N91" s="53"/>
      <c r="O91" s="58"/>
      <c r="P91" s="50"/>
      <c r="Q91" s="32" t="s">
        <v>76</v>
      </c>
      <c r="R91" s="53">
        <v>2018</v>
      </c>
      <c r="S91" s="32" t="str">
        <f>TEXT(_xlfn.IFNA(VLOOKUP(Output_Table[[#This Row],[Month (Plan)]],OutupMonth_Table[#All],2,FALSE),""),"00")</f>
        <v>10</v>
      </c>
    </row>
    <row r="92" spans="1:19" ht="30" x14ac:dyDescent="0.25">
      <c r="A92" s="67" t="s">
        <v>249</v>
      </c>
      <c r="B92" s="40">
        <v>43392</v>
      </c>
      <c r="C92" s="32">
        <v>8</v>
      </c>
      <c r="D92" s="32" t="s">
        <v>5</v>
      </c>
      <c r="E92" s="41" t="s">
        <v>296</v>
      </c>
      <c r="F92" s="86" t="s">
        <v>297</v>
      </c>
      <c r="G92" s="32" t="s">
        <v>42</v>
      </c>
      <c r="H92" s="75">
        <f>_xlfn.IFNA(VLOOKUP(Output_Table[[#This Row],[Progress]],ProgressCalculation_List,6,FALSE),"")</f>
        <v>1.0000000000000002</v>
      </c>
      <c r="I92" s="83" t="s">
        <v>217</v>
      </c>
      <c r="J92" s="84">
        <v>43426</v>
      </c>
      <c r="K92" s="79">
        <v>8</v>
      </c>
      <c r="L92" s="81"/>
      <c r="M92" s="44">
        <v>43404.659722222219</v>
      </c>
      <c r="N92" s="53" t="s">
        <v>173</v>
      </c>
      <c r="O92" s="58">
        <v>0</v>
      </c>
      <c r="P92">
        <v>40</v>
      </c>
      <c r="Q92" s="32" t="s">
        <v>88</v>
      </c>
      <c r="R92" s="53">
        <v>2018</v>
      </c>
      <c r="S92" s="32" t="str">
        <f>TEXT(_xlfn.IFNA(VLOOKUP(Output_Table[[#This Row],[Month (Plan)]],OutupMonth_Table[#All],2,FALSE),""),"00")</f>
        <v>11</v>
      </c>
    </row>
    <row r="93" spans="1:19" ht="30" x14ac:dyDescent="0.25">
      <c r="A93" s="67" t="s">
        <v>250</v>
      </c>
      <c r="B93" s="40">
        <v>43403</v>
      </c>
      <c r="C93" s="32">
        <v>8</v>
      </c>
      <c r="D93" s="32" t="s">
        <v>5</v>
      </c>
      <c r="E93" s="41" t="s">
        <v>298</v>
      </c>
      <c r="F93" s="86" t="s">
        <v>297</v>
      </c>
      <c r="G93" s="32" t="s">
        <v>42</v>
      </c>
      <c r="H93" s="75">
        <f>_xlfn.IFNA(VLOOKUP(Output_Table[[#This Row],[Progress]],ProgressCalculation_List,6,FALSE),"")</f>
        <v>1.0000000000000002</v>
      </c>
      <c r="I93" s="83" t="s">
        <v>217</v>
      </c>
      <c r="J93" s="84">
        <v>43426</v>
      </c>
      <c r="K93" s="79">
        <v>8</v>
      </c>
      <c r="L93" s="81"/>
      <c r="M93" s="44">
        <v>43404.552083333336</v>
      </c>
      <c r="N93" s="53" t="s">
        <v>173</v>
      </c>
      <c r="O93" s="50"/>
      <c r="P93" s="50"/>
      <c r="Q93" s="32" t="s">
        <v>88</v>
      </c>
      <c r="R93" s="53">
        <v>2018</v>
      </c>
      <c r="S93" s="32" t="str">
        <f>TEXT(_xlfn.IFNA(VLOOKUP(Output_Table[[#This Row],[Month (Plan)]],OutupMonth_Table[#All],2,FALSE),""),"00")</f>
        <v>11</v>
      </c>
    </row>
    <row r="94" spans="1:19" ht="30" x14ac:dyDescent="0.25">
      <c r="A94" s="67" t="s">
        <v>251</v>
      </c>
      <c r="B94" s="40">
        <v>43403</v>
      </c>
      <c r="C94" s="32">
        <v>8</v>
      </c>
      <c r="D94" s="32" t="s">
        <v>5</v>
      </c>
      <c r="E94" s="41" t="s">
        <v>299</v>
      </c>
      <c r="F94" s="86" t="s">
        <v>297</v>
      </c>
      <c r="G94" s="32" t="s">
        <v>42</v>
      </c>
      <c r="H94" s="75">
        <f>_xlfn.IFNA(VLOOKUP(Output_Table[[#This Row],[Progress]],ProgressCalculation_List,6,FALSE),"")</f>
        <v>1.0000000000000002</v>
      </c>
      <c r="I94" s="83" t="s">
        <v>217</v>
      </c>
      <c r="J94" s="84">
        <v>43432</v>
      </c>
      <c r="K94" s="79">
        <v>8</v>
      </c>
      <c r="L94" s="81"/>
      <c r="M94" s="32"/>
      <c r="N94" s="53" t="s">
        <v>173</v>
      </c>
      <c r="O94" s="50"/>
      <c r="P94" s="50"/>
      <c r="Q94" s="32" t="s">
        <v>88</v>
      </c>
      <c r="R94" s="53">
        <v>2018</v>
      </c>
      <c r="S94" s="32" t="str">
        <f>TEXT(_xlfn.IFNA(VLOOKUP(Output_Table[[#This Row],[Month (Plan)]],OutupMonth_Table[#All],2,FALSE),""),"00")</f>
        <v>11</v>
      </c>
    </row>
    <row r="95" spans="1:19" x14ac:dyDescent="0.25">
      <c r="A95" s="67" t="s">
        <v>252</v>
      </c>
      <c r="B95" s="40">
        <v>43411</v>
      </c>
      <c r="C95" s="32">
        <v>8</v>
      </c>
      <c r="D95" s="32" t="s">
        <v>5</v>
      </c>
      <c r="E95" s="32" t="s">
        <v>300</v>
      </c>
      <c r="F95" s="40">
        <v>43423</v>
      </c>
      <c r="G95" s="32" t="s">
        <v>42</v>
      </c>
      <c r="H95" s="75">
        <f>_xlfn.IFNA(VLOOKUP(Output_Table[[#This Row],[Progress]],ProgressCalculation_List,6,FALSE),"")</f>
        <v>1.0000000000000002</v>
      </c>
      <c r="I95" s="83" t="s">
        <v>217</v>
      </c>
      <c r="J95" s="84">
        <v>43432</v>
      </c>
      <c r="K95" s="79">
        <v>7</v>
      </c>
      <c r="L95" s="81" t="s">
        <v>310</v>
      </c>
      <c r="M95" s="44">
        <v>43413.552083333336</v>
      </c>
      <c r="N95" s="53" t="s">
        <v>173</v>
      </c>
      <c r="O95" s="50"/>
      <c r="P95" s="50"/>
      <c r="Q95" s="32" t="s">
        <v>88</v>
      </c>
      <c r="R95" s="53">
        <v>2018</v>
      </c>
      <c r="S95" s="32" t="str">
        <f>TEXT(_xlfn.IFNA(VLOOKUP(Output_Table[[#This Row],[Month (Plan)]],OutupMonth_Table[#All],2,FALSE),""),"00")</f>
        <v>11</v>
      </c>
    </row>
    <row r="96" spans="1:19" x14ac:dyDescent="0.25">
      <c r="A96" s="67" t="s">
        <v>254</v>
      </c>
      <c r="B96" s="40">
        <v>43412</v>
      </c>
      <c r="C96" s="32">
        <v>8</v>
      </c>
      <c r="D96" s="32" t="s">
        <v>5</v>
      </c>
      <c r="E96" s="32" t="s">
        <v>300</v>
      </c>
      <c r="F96" s="40">
        <v>43423</v>
      </c>
      <c r="G96" s="32" t="s">
        <v>42</v>
      </c>
      <c r="H96" s="75">
        <f>_xlfn.IFNA(VLOOKUP(Output_Table[[#This Row],[Progress]],ProgressCalculation_List,6,FALSE),"")</f>
        <v>1.0000000000000002</v>
      </c>
      <c r="I96" s="83" t="s">
        <v>217</v>
      </c>
      <c r="J96" s="84">
        <v>43432</v>
      </c>
      <c r="K96" s="79">
        <v>8</v>
      </c>
      <c r="L96" s="81"/>
      <c r="M96" s="44">
        <v>43416.645833333336</v>
      </c>
      <c r="N96" s="134" t="s">
        <v>173</v>
      </c>
      <c r="O96" s="58"/>
      <c r="P96" s="50"/>
      <c r="Q96" s="32" t="s">
        <v>88</v>
      </c>
      <c r="R96" s="53">
        <v>2018</v>
      </c>
      <c r="S96" s="32" t="str">
        <f>TEXT(_xlfn.IFNA(VLOOKUP(Output_Table[[#This Row],[Month (Plan)]],OutupMonth_Table[#All],2,FALSE),""),"00")</f>
        <v>11</v>
      </c>
    </row>
    <row r="97" spans="1:19" x14ac:dyDescent="0.25">
      <c r="A97" s="67" t="s">
        <v>294</v>
      </c>
      <c r="B97" s="40">
        <v>43419</v>
      </c>
      <c r="C97" s="32">
        <v>8</v>
      </c>
      <c r="D97" s="32" t="s">
        <v>5</v>
      </c>
      <c r="E97" s="32" t="s">
        <v>300</v>
      </c>
      <c r="F97" s="40">
        <v>43423</v>
      </c>
      <c r="G97" s="32" t="s">
        <v>42</v>
      </c>
      <c r="H97" s="75">
        <f>_xlfn.IFNA(VLOOKUP(Output_Table[[#This Row],[Progress]],ProgressCalculation_List,6,FALSE),"")</f>
        <v>1.0000000000000002</v>
      </c>
      <c r="I97" s="83" t="s">
        <v>217</v>
      </c>
      <c r="J97" s="84">
        <v>43441</v>
      </c>
      <c r="K97" s="79">
        <v>8</v>
      </c>
      <c r="L97" s="81"/>
      <c r="M97" s="32"/>
      <c r="N97" s="53"/>
      <c r="O97" s="50">
        <v>0</v>
      </c>
      <c r="P97" s="50">
        <v>40</v>
      </c>
      <c r="Q97" s="32" t="s">
        <v>99</v>
      </c>
      <c r="R97" s="53">
        <v>2018</v>
      </c>
      <c r="S97" s="32" t="str">
        <f>TEXT(_xlfn.IFNA(VLOOKUP(Output_Table[[#This Row],[Month (Plan)]],OutupMonth_Table[#All],2,FALSE),""),"00")</f>
        <v>12</v>
      </c>
    </row>
    <row r="98" spans="1:19" ht="30" x14ac:dyDescent="0.25">
      <c r="A98" s="67" t="s">
        <v>295</v>
      </c>
      <c r="B98" s="40">
        <v>43419</v>
      </c>
      <c r="C98" s="32">
        <v>8</v>
      </c>
      <c r="D98" s="32" t="s">
        <v>5</v>
      </c>
      <c r="E98" s="41" t="s">
        <v>301</v>
      </c>
      <c r="F98" s="86" t="s">
        <v>302</v>
      </c>
      <c r="G98" s="32" t="s">
        <v>42</v>
      </c>
      <c r="H98" s="75">
        <f>_xlfn.IFNA(VLOOKUP(Output_Table[[#This Row],[Progress]],ProgressCalculation_List,6,FALSE),"")</f>
        <v>1.0000000000000002</v>
      </c>
      <c r="I98" s="83" t="s">
        <v>217</v>
      </c>
      <c r="J98" s="84">
        <v>43441</v>
      </c>
      <c r="K98" s="79">
        <v>8</v>
      </c>
      <c r="L98" s="81"/>
      <c r="M98" s="32"/>
      <c r="N98" s="53"/>
      <c r="O98" s="50"/>
      <c r="P98" s="50"/>
      <c r="Q98" s="32" t="s">
        <v>99</v>
      </c>
      <c r="R98" s="53">
        <v>2018</v>
      </c>
      <c r="S98" s="32" t="str">
        <f>TEXT(_xlfn.IFNA(VLOOKUP(Output_Table[[#This Row],[Month (Plan)]],OutupMonth_Table[#All],2,FALSE),""),"00")</f>
        <v>12</v>
      </c>
    </row>
    <row r="99" spans="1:19" ht="120.75" x14ac:dyDescent="0.25">
      <c r="A99" s="67" t="s">
        <v>306</v>
      </c>
      <c r="B99" s="40">
        <v>43426</v>
      </c>
      <c r="C99" s="32">
        <v>8</v>
      </c>
      <c r="D99" s="32" t="s">
        <v>5</v>
      </c>
      <c r="E99" s="32" t="s">
        <v>307</v>
      </c>
      <c r="F99" s="40">
        <v>43437</v>
      </c>
      <c r="G99" s="32" t="s">
        <v>42</v>
      </c>
      <c r="H99" s="75">
        <f>_xlfn.IFNA(VLOOKUP(Output_Table[[#This Row],[Progress]],ProgressCalculation_List,6,FALSE),"")</f>
        <v>1.0000000000000002</v>
      </c>
      <c r="I99" s="83" t="s">
        <v>217</v>
      </c>
      <c r="J99" s="84">
        <v>43453</v>
      </c>
      <c r="K99" s="79">
        <v>8</v>
      </c>
      <c r="L99" s="81"/>
      <c r="M99" s="44">
        <v>43439.361111111109</v>
      </c>
      <c r="N99" s="137" t="s">
        <v>319</v>
      </c>
      <c r="O99" s="50"/>
      <c r="P99" s="50"/>
      <c r="Q99" s="32" t="s">
        <v>99</v>
      </c>
      <c r="R99" s="53">
        <v>2018</v>
      </c>
      <c r="S99" s="32" t="str">
        <f>TEXT(_xlfn.IFNA(VLOOKUP(Output_Table[[#This Row],[Month (Plan)]],OutupMonth_Table[#All],2,FALSE),""),"00")</f>
        <v>12</v>
      </c>
    </row>
    <row r="100" spans="1:19" ht="60" x14ac:dyDescent="0.25">
      <c r="A100" s="67" t="s">
        <v>305</v>
      </c>
      <c r="B100" s="40">
        <v>43426</v>
      </c>
      <c r="C100" s="32">
        <v>8</v>
      </c>
      <c r="D100" s="32" t="s">
        <v>5</v>
      </c>
      <c r="E100" s="32"/>
      <c r="F100" s="40"/>
      <c r="G100" s="32" t="s">
        <v>42</v>
      </c>
      <c r="H100" s="75">
        <f>_xlfn.IFNA(VLOOKUP(Output_Table[[#This Row],[Progress]],ProgressCalculation_List,6,FALSE),"")</f>
        <v>1.0000000000000002</v>
      </c>
      <c r="I100" s="83" t="s">
        <v>217</v>
      </c>
      <c r="J100" s="84">
        <v>43453</v>
      </c>
      <c r="K100" s="79">
        <v>8</v>
      </c>
      <c r="L100" s="81"/>
      <c r="M100" s="32"/>
      <c r="N100" s="131" t="s">
        <v>320</v>
      </c>
      <c r="O100" s="50"/>
      <c r="P100" s="50"/>
      <c r="Q100" s="32" t="s">
        <v>99</v>
      </c>
      <c r="R100" s="53">
        <v>2018</v>
      </c>
      <c r="S100" s="32" t="str">
        <f>TEXT(_xlfn.IFNA(VLOOKUP(Output_Table[[#This Row],[Month (Plan)]],OutupMonth_Table[#All],2,FALSE),""),"00")</f>
        <v>12</v>
      </c>
    </row>
    <row r="101" spans="1:19" x14ac:dyDescent="0.25">
      <c r="A101" s="67" t="s">
        <v>308</v>
      </c>
      <c r="B101" s="40">
        <v>43431</v>
      </c>
      <c r="C101" s="32">
        <v>8</v>
      </c>
      <c r="D101" s="32" t="s">
        <v>5</v>
      </c>
      <c r="E101" s="32" t="s">
        <v>307</v>
      </c>
      <c r="F101" s="40">
        <v>43437</v>
      </c>
      <c r="G101" s="32" t="s">
        <v>42</v>
      </c>
      <c r="H101" s="75">
        <f>_xlfn.IFNA(VLOOKUP(Output_Table[[#This Row],[Progress]],ProgressCalculation_List,6,FALSE),"")</f>
        <v>1.0000000000000002</v>
      </c>
      <c r="I101" s="83" t="s">
        <v>217</v>
      </c>
      <c r="J101" s="84">
        <v>43454</v>
      </c>
      <c r="K101" s="79">
        <v>8</v>
      </c>
      <c r="L101" s="81"/>
      <c r="M101" s="44">
        <v>43440.395833333336</v>
      </c>
      <c r="N101" s="53"/>
      <c r="O101" s="50"/>
      <c r="P101" s="50"/>
      <c r="Q101" s="32" t="s">
        <v>99</v>
      </c>
      <c r="R101" s="53">
        <v>2018</v>
      </c>
      <c r="S101" s="32" t="str">
        <f>TEXT(_xlfn.IFNA(VLOOKUP(Output_Table[[#This Row],[Month (Plan)]],OutupMonth_Table[#All],2,FALSE),""),"00")</f>
        <v>12</v>
      </c>
    </row>
    <row r="102" spans="1:19" ht="60" x14ac:dyDescent="0.25">
      <c r="A102" s="67" t="s">
        <v>309</v>
      </c>
      <c r="B102" s="40">
        <v>43431</v>
      </c>
      <c r="C102" s="32">
        <v>8</v>
      </c>
      <c r="D102" s="32" t="s">
        <v>5</v>
      </c>
      <c r="E102" s="41" t="s">
        <v>313</v>
      </c>
      <c r="F102" s="86" t="s">
        <v>317</v>
      </c>
      <c r="G102" s="32" t="s">
        <v>42</v>
      </c>
      <c r="H102" s="75">
        <f>_xlfn.IFNA(VLOOKUP(Output_Table[[#This Row],[Progress]],ProgressCalculation_List,6,FALSE),"")</f>
        <v>1.0000000000000002</v>
      </c>
      <c r="I102" s="83" t="s">
        <v>217</v>
      </c>
      <c r="J102" s="84">
        <v>43468</v>
      </c>
      <c r="K102" s="79">
        <v>8</v>
      </c>
      <c r="L102" s="81"/>
      <c r="M102" s="44">
        <v>43444.645833333336</v>
      </c>
      <c r="N102" s="131" t="s">
        <v>327</v>
      </c>
      <c r="O102" s="50"/>
      <c r="P102" s="50"/>
      <c r="Q102" s="32" t="s">
        <v>90</v>
      </c>
      <c r="R102" s="53">
        <v>2019</v>
      </c>
      <c r="S102" s="32" t="str">
        <f>TEXT(_xlfn.IFNA(VLOOKUP(Output_Table[[#This Row],[Month (Plan)]],OutupMonth_Table[#All],2,FALSE),""),"00")</f>
        <v>01</v>
      </c>
    </row>
    <row r="103" spans="1:19" ht="45" x14ac:dyDescent="0.25">
      <c r="A103" s="67" t="s">
        <v>311</v>
      </c>
      <c r="B103" s="40">
        <v>43437</v>
      </c>
      <c r="C103" s="32">
        <v>8</v>
      </c>
      <c r="D103" s="32" t="s">
        <v>4</v>
      </c>
      <c r="E103" s="41" t="s">
        <v>312</v>
      </c>
      <c r="F103" s="86" t="s">
        <v>315</v>
      </c>
      <c r="G103" s="32" t="s">
        <v>42</v>
      </c>
      <c r="H103" s="75">
        <f>_xlfn.IFNA(VLOOKUP(Output_Table[[#This Row],[Progress]],ProgressCalculation_List,6,FALSE),"")</f>
        <v>1.0000000000000002</v>
      </c>
      <c r="I103" s="83" t="s">
        <v>217</v>
      </c>
      <c r="J103" s="84">
        <v>43474</v>
      </c>
      <c r="K103" s="79">
        <v>8</v>
      </c>
      <c r="L103" s="81"/>
      <c r="M103" s="44">
        <v>43445.5</v>
      </c>
      <c r="N103" s="53" t="s">
        <v>328</v>
      </c>
      <c r="O103" s="50"/>
      <c r="P103" s="50"/>
      <c r="Q103" s="32" t="s">
        <v>90</v>
      </c>
      <c r="R103" s="53">
        <v>2019</v>
      </c>
      <c r="S103" s="32" t="str">
        <f>TEXT(_xlfn.IFNA(VLOOKUP(Output_Table[[#This Row],[Month (Plan)]],OutupMonth_Table[#All],2,FALSE),""),"00")</f>
        <v>01</v>
      </c>
    </row>
    <row r="104" spans="1:19" ht="60" x14ac:dyDescent="0.25">
      <c r="A104" s="67" t="s">
        <v>314</v>
      </c>
      <c r="B104" s="40">
        <v>43438</v>
      </c>
      <c r="C104" s="32">
        <v>8</v>
      </c>
      <c r="D104" s="32" t="s">
        <v>5</v>
      </c>
      <c r="E104" s="41" t="s">
        <v>316</v>
      </c>
      <c r="F104" s="86" t="s">
        <v>318</v>
      </c>
      <c r="G104" s="32" t="s">
        <v>42</v>
      </c>
      <c r="H104" s="75">
        <f>_xlfn.IFNA(VLOOKUP(Output_Table[[#This Row],[Progress]],ProgressCalculation_List,6,FALSE),"")</f>
        <v>1.0000000000000002</v>
      </c>
      <c r="I104" s="83" t="s">
        <v>217</v>
      </c>
      <c r="J104" s="84">
        <v>43474</v>
      </c>
      <c r="K104" s="79">
        <v>8</v>
      </c>
      <c r="L104" s="118"/>
      <c r="M104" s="44">
        <v>43446.625</v>
      </c>
      <c r="N104" s="131" t="s">
        <v>328</v>
      </c>
      <c r="O104" s="50"/>
      <c r="P104" s="50"/>
      <c r="Q104" s="32" t="s">
        <v>90</v>
      </c>
      <c r="R104" s="53">
        <v>2019</v>
      </c>
      <c r="S104" s="32" t="str">
        <f>TEXT(_xlfn.IFNA(VLOOKUP(Output_Table[[#This Row],[Month (Plan)]],OutupMonth_Table[#All],2,FALSE),""),"00")</f>
        <v>01</v>
      </c>
    </row>
    <row r="105" spans="1:19" ht="60" x14ac:dyDescent="0.25">
      <c r="A105" s="67" t="s">
        <v>321</v>
      </c>
      <c r="B105" s="40">
        <v>43453</v>
      </c>
      <c r="C105" s="32">
        <v>8</v>
      </c>
      <c r="D105" s="32" t="s">
        <v>4</v>
      </c>
      <c r="E105" s="41" t="s">
        <v>339</v>
      </c>
      <c r="F105" s="86" t="s">
        <v>341</v>
      </c>
      <c r="G105" s="32" t="s">
        <v>14</v>
      </c>
      <c r="H105" s="75">
        <f>_xlfn.IFNA(VLOOKUP(Output_Table[[#This Row],[Progress]],ProgressCalculation_List,6,FALSE),"")</f>
        <v>0.449438202247191</v>
      </c>
      <c r="I105" s="83" t="s">
        <v>217</v>
      </c>
      <c r="J105" s="84">
        <v>43483</v>
      </c>
      <c r="K105" s="79">
        <v>8</v>
      </c>
      <c r="L105" s="119"/>
      <c r="M105" s="32"/>
      <c r="N105" s="136"/>
      <c r="O105" s="50"/>
      <c r="P105" s="50"/>
      <c r="Q105" s="32" t="s">
        <v>90</v>
      </c>
      <c r="R105" s="53">
        <v>2019</v>
      </c>
      <c r="S105" s="32" t="str">
        <f>TEXT(_xlfn.IFNA(VLOOKUP(Output_Table[[#This Row],[Month (Plan)]],OutupMonth_Table[#All],2,FALSE),""),"00")</f>
        <v>01</v>
      </c>
    </row>
    <row r="106" spans="1:19" x14ac:dyDescent="0.25">
      <c r="A106" s="67" t="s">
        <v>322</v>
      </c>
      <c r="B106" s="40">
        <v>43453</v>
      </c>
      <c r="C106" s="32">
        <v>8</v>
      </c>
      <c r="D106" s="32" t="s">
        <v>5</v>
      </c>
      <c r="E106" s="41" t="s">
        <v>323</v>
      </c>
      <c r="F106" s="40">
        <v>43452</v>
      </c>
      <c r="G106" s="32" t="s">
        <v>14</v>
      </c>
      <c r="H106" s="75">
        <f>_xlfn.IFNA(VLOOKUP(Output_Table[[#This Row],[Progress]],ProgressCalculation_List,6,FALSE),"")</f>
        <v>0.449438202247191</v>
      </c>
      <c r="I106" s="83" t="s">
        <v>217</v>
      </c>
      <c r="J106" s="84">
        <v>43483</v>
      </c>
      <c r="K106" s="79">
        <v>8</v>
      </c>
      <c r="L106" s="120"/>
      <c r="M106" s="44">
        <v>43467.541666666664</v>
      </c>
      <c r="N106" s="136"/>
      <c r="O106" s="50"/>
      <c r="P106" s="50"/>
      <c r="Q106" s="32" t="s">
        <v>90</v>
      </c>
      <c r="R106" s="53">
        <v>2019</v>
      </c>
      <c r="S106" s="32" t="str">
        <f>TEXT(_xlfn.IFNA(VLOOKUP(Output_Table[[#This Row],[Month (Plan)]],OutupMonth_Table[#All],2,FALSE),""),"00")</f>
        <v>01</v>
      </c>
    </row>
    <row r="107" spans="1:19" ht="45" x14ac:dyDescent="0.25">
      <c r="A107" s="67" t="s">
        <v>324</v>
      </c>
      <c r="B107" s="40">
        <v>43454</v>
      </c>
      <c r="C107" s="32">
        <v>8</v>
      </c>
      <c r="D107" s="32" t="s">
        <v>5</v>
      </c>
      <c r="E107" s="41" t="s">
        <v>325</v>
      </c>
      <c r="F107" s="86" t="s">
        <v>344</v>
      </c>
      <c r="G107" s="32" t="s">
        <v>18</v>
      </c>
      <c r="H107" s="75">
        <f>_xlfn.IFNA(VLOOKUP(Output_Table[[#This Row],[Progress]],ProgressCalculation_List,6,FALSE),"")</f>
        <v>0</v>
      </c>
      <c r="I107" s="83"/>
      <c r="J107" s="84">
        <v>43490</v>
      </c>
      <c r="K107" s="79"/>
      <c r="L107" s="81"/>
      <c r="M107" s="32"/>
      <c r="N107" s="136"/>
      <c r="O107" s="50"/>
      <c r="P107" s="50"/>
      <c r="Q107" s="32" t="s">
        <v>90</v>
      </c>
      <c r="R107" s="53">
        <v>2019</v>
      </c>
      <c r="S107" s="32" t="str">
        <f>TEXT(_xlfn.IFNA(VLOOKUP(Output_Table[[#This Row],[Month (Plan)]],OutupMonth_Table[#All],2,FALSE),""),"00")</f>
        <v>01</v>
      </c>
    </row>
    <row r="108" spans="1:19" ht="75" x14ac:dyDescent="0.25">
      <c r="A108" s="67" t="s">
        <v>326</v>
      </c>
      <c r="B108" s="40">
        <v>43454</v>
      </c>
      <c r="C108" s="32">
        <v>8</v>
      </c>
      <c r="D108" s="32" t="s">
        <v>5</v>
      </c>
      <c r="E108" s="41" t="s">
        <v>340</v>
      </c>
      <c r="F108" s="121" t="s">
        <v>345</v>
      </c>
      <c r="G108" s="32" t="s">
        <v>18</v>
      </c>
      <c r="H108" s="75">
        <f>_xlfn.IFNA(VLOOKUP(Output_Table[[#This Row],[Progress]],ProgressCalculation_List,6,FALSE),"")</f>
        <v>0</v>
      </c>
      <c r="I108" s="83"/>
      <c r="J108" s="84">
        <v>43490</v>
      </c>
      <c r="K108" s="79"/>
      <c r="L108" s="81"/>
      <c r="M108" s="32"/>
      <c r="N108" s="136"/>
      <c r="O108" s="50"/>
      <c r="P108" s="50"/>
      <c r="Q108" s="32" t="s">
        <v>91</v>
      </c>
      <c r="R108" s="53">
        <v>2019</v>
      </c>
      <c r="S108" s="32" t="str">
        <f>TEXT(_xlfn.IFNA(VLOOKUP(Output_Table[[#This Row],[Month (Plan)]],OutupMonth_Table[#All],2,FALSE),""),"00")</f>
        <v>02</v>
      </c>
    </row>
    <row r="109" spans="1:19" x14ac:dyDescent="0.25">
      <c r="A109" s="67" t="s">
        <v>342</v>
      </c>
      <c r="B109" s="40">
        <v>43472</v>
      </c>
      <c r="C109" s="32">
        <v>8</v>
      </c>
      <c r="D109" s="32" t="s">
        <v>5</v>
      </c>
      <c r="E109" s="32" t="s">
        <v>343</v>
      </c>
      <c r="F109" s="40">
        <v>43472</v>
      </c>
      <c r="G109" s="32" t="s">
        <v>18</v>
      </c>
      <c r="H109" s="75">
        <f>_xlfn.IFNA(VLOOKUP(Output_Table[[#This Row],[Progress]],ProgressCalculation_List,6,FALSE),"")</f>
        <v>0</v>
      </c>
      <c r="I109" s="83"/>
      <c r="J109" s="84">
        <v>43497</v>
      </c>
      <c r="K109" s="79"/>
      <c r="L109" s="81"/>
      <c r="M109" s="32"/>
      <c r="N109" s="53"/>
      <c r="O109" s="50"/>
      <c r="P109" s="50"/>
      <c r="Q109" s="32" t="s">
        <v>91</v>
      </c>
      <c r="R109" s="53">
        <v>2019</v>
      </c>
      <c r="S109" s="32" t="str">
        <f>TEXT(_xlfn.IFNA(VLOOKUP(Output_Table[[#This Row],[Month (Plan)]],OutupMonth_Table[#All],2,FALSE),""),"00")</f>
        <v>02</v>
      </c>
    </row>
    <row r="110" spans="1:19" ht="45" x14ac:dyDescent="0.25">
      <c r="A110" s="67" t="s">
        <v>347</v>
      </c>
      <c r="B110" s="40">
        <v>43472</v>
      </c>
      <c r="C110" s="32">
        <v>8</v>
      </c>
      <c r="D110" s="32" t="s">
        <v>5</v>
      </c>
      <c r="E110" s="41" t="s">
        <v>346</v>
      </c>
      <c r="F110" s="121" t="s">
        <v>348</v>
      </c>
      <c r="G110" s="32" t="s">
        <v>18</v>
      </c>
      <c r="H110" s="75">
        <f>_xlfn.IFNA(VLOOKUP(Output_Table[[#This Row],[Progress]],ProgressCalculation_List,6,FALSE),"")</f>
        <v>0</v>
      </c>
      <c r="I110" s="83"/>
      <c r="J110" s="84">
        <v>43497</v>
      </c>
      <c r="K110" s="79"/>
      <c r="L110" s="81"/>
      <c r="M110" s="32"/>
      <c r="N110" s="53"/>
      <c r="O110" s="50"/>
      <c r="P110" s="50"/>
      <c r="Q110" s="32" t="s">
        <v>91</v>
      </c>
      <c r="R110" s="53">
        <v>2019</v>
      </c>
      <c r="S110" s="32" t="str">
        <f>TEXT(_xlfn.IFNA(VLOOKUP(Output_Table[[#This Row],[Month (Plan)]],OutupMonth_Table[#All],2,FALSE),""),"00")</f>
        <v>02</v>
      </c>
    </row>
  </sheetData>
  <mergeCells count="3">
    <mergeCell ref="O2:R2"/>
    <mergeCell ref="H2:K2"/>
    <mergeCell ref="A1:M1"/>
  </mergeCells>
  <conditionalFormatting sqref="E4:E110">
    <cfRule type="expression" dxfId="77" priority="145">
      <formula>$D4="Yes"</formula>
    </cfRule>
  </conditionalFormatting>
  <conditionalFormatting sqref="G4:G110">
    <cfRule type="cellIs" dxfId="76" priority="134" operator="equal">
      <formula>"19. Despatch"</formula>
    </cfRule>
    <cfRule type="cellIs" dxfId="75" priority="136" operator="equal">
      <formula>"18. Final inspection"</formula>
    </cfRule>
    <cfRule type="cellIs" dxfId="74" priority="147" operator="equal">
      <formula>"20. Fail"</formula>
    </cfRule>
    <cfRule type="cellIs" dxfId="73" priority="148" operator="equal">
      <formula>"20. Out"</formula>
    </cfRule>
  </conditionalFormatting>
  <conditionalFormatting sqref="D4:D110">
    <cfRule type="cellIs" dxfId="72" priority="141" operator="equal">
      <formula>"Yes"</formula>
    </cfRule>
  </conditionalFormatting>
  <conditionalFormatting sqref="O2">
    <cfRule type="expression" dxfId="71" priority="92">
      <formula>$D2="Yes"</formula>
    </cfRule>
  </conditionalFormatting>
  <conditionalFormatting sqref="Q4:Q88">
    <cfRule type="cellIs" dxfId="70" priority="117" operator="equal">
      <formula>"August"</formula>
    </cfRule>
  </conditionalFormatting>
  <conditionalFormatting sqref="Q4:Q110">
    <cfRule type="cellIs" dxfId="69" priority="113" operator="equal">
      <formula>"December"</formula>
    </cfRule>
    <cfRule type="cellIs" dxfId="68" priority="114" operator="equal">
      <formula>"November"</formula>
    </cfRule>
    <cfRule type="cellIs" dxfId="67" priority="115" operator="equal">
      <formula>"October"</formula>
    </cfRule>
    <cfRule type="cellIs" dxfId="66" priority="116" operator="equal">
      <formula>"September"</formula>
    </cfRule>
    <cfRule type="cellIs" dxfId="65" priority="118" operator="equal">
      <formula>"July"</formula>
    </cfRule>
    <cfRule type="cellIs" dxfId="64" priority="119" operator="equal">
      <formula>"June"</formula>
    </cfRule>
    <cfRule type="cellIs" dxfId="63" priority="120" operator="equal">
      <formula>"May"</formula>
    </cfRule>
    <cfRule type="cellIs" dxfId="62" priority="121" operator="equal">
      <formula>"April"</formula>
    </cfRule>
    <cfRule type="cellIs" dxfId="61" priority="122" operator="equal">
      <formula>"March"</formula>
    </cfRule>
    <cfRule type="cellIs" dxfId="60" priority="123" operator="equal">
      <formula>"February"</formula>
    </cfRule>
    <cfRule type="cellIs" dxfId="59" priority="124" operator="equal">
      <formula>"January"</formula>
    </cfRule>
  </conditionalFormatting>
  <conditionalFormatting sqref="I4:I110">
    <cfRule type="cellIs" dxfId="58" priority="35" operator="equal">
      <formula>"Vincent"</formula>
    </cfRule>
    <cfRule type="cellIs" dxfId="57" priority="38" operator="equal">
      <formula>"Martin"</formula>
    </cfRule>
    <cfRule type="cellIs" dxfId="56" priority="39" operator="equal">
      <formula>"Dean"</formula>
    </cfRule>
  </conditionalFormatting>
  <conditionalFormatting sqref="L4:L110">
    <cfRule type="cellIs" dxfId="55" priority="37" operator="notEqual">
      <formula>""""""</formula>
    </cfRule>
  </conditionalFormatting>
  <conditionalFormatting sqref="K4:K110">
    <cfRule type="expression" dxfId="54" priority="36">
      <formula>$K4&lt;$C4</formula>
    </cfRule>
  </conditionalFormatting>
  <conditionalFormatting sqref="H4:H110">
    <cfRule type="expression" dxfId="53" priority="182">
      <formula>$G4="02. Initial build"</formula>
    </cfRule>
    <cfRule type="expression" dxfId="52" priority="183">
      <formula>$G4="19. Despatch"</formula>
    </cfRule>
    <cfRule type="expression" dxfId="51" priority="184">
      <formula>$G4="20. Fail"</formula>
    </cfRule>
    <cfRule type="cellIs" dxfId="50" priority="185" operator="equal">
      <formula>0</formula>
    </cfRule>
    <cfRule type="cellIs" dxfId="49" priority="186" operator="equal">
      <formula>1</formula>
    </cfRule>
    <cfRule type="colorScale" priority="187">
      <colorScale>
        <cfvo type="percent" val="0"/>
        <cfvo type="percent" val="40"/>
        <cfvo type="percent" val="100"/>
        <color theme="5" tint="-0.249977111117893"/>
        <color rgb="FFFFEB84"/>
        <color theme="9" tint="-0.249977111117893"/>
      </colorScale>
    </cfRule>
  </conditionalFormatting>
  <conditionalFormatting sqref="A4:A110">
    <cfRule type="expression" dxfId="48" priority="15">
      <formula>$Q4="December"</formula>
    </cfRule>
    <cfRule type="expression" dxfId="47" priority="16">
      <formula>$Q4="November"</formula>
    </cfRule>
    <cfRule type="expression" dxfId="46" priority="17">
      <formula>$Q4="October"</formula>
    </cfRule>
    <cfRule type="expression" dxfId="45" priority="18">
      <formula>$Q4="September"</formula>
    </cfRule>
    <cfRule type="expression" dxfId="44" priority="19">
      <formula>$Q4="August"</formula>
    </cfRule>
    <cfRule type="expression" dxfId="43" priority="20">
      <formula>$Q4="July"</formula>
    </cfRule>
    <cfRule type="expression" dxfId="42" priority="22">
      <formula>$Q4="June"</formula>
    </cfRule>
    <cfRule type="expression" dxfId="41" priority="23">
      <formula>$Q4="May"</formula>
    </cfRule>
    <cfRule type="expression" dxfId="40" priority="24">
      <formula>$Q4="April"</formula>
    </cfRule>
    <cfRule type="expression" dxfId="39" priority="25">
      <formula>$Q4="March"</formula>
    </cfRule>
    <cfRule type="expression" dxfId="38" priority="26">
      <formula>$Q4="February"</formula>
    </cfRule>
    <cfRule type="expression" dxfId="37" priority="27">
      <formula>$Q4="January"</formula>
    </cfRule>
  </conditionalFormatting>
  <conditionalFormatting sqref="O4:O110">
    <cfRule type="expression" dxfId="36" priority="190">
      <formula>#REF!=0</formula>
    </cfRule>
    <cfRule type="expression" dxfId="35" priority="191">
      <formula>#REF!=1</formula>
    </cfRule>
    <cfRule type="cellIs" dxfId="34" priority="192" operator="equal">
      <formula>0</formula>
    </cfRule>
  </conditionalFormatting>
  <conditionalFormatting sqref="P4:P110">
    <cfRule type="expression" dxfId="33" priority="193">
      <formula>#REF!=0</formula>
    </cfRule>
    <cfRule type="expression" dxfId="32" priority="194">
      <formula>#REF!=1</formula>
    </cfRule>
  </conditionalFormatting>
  <conditionalFormatting sqref="J4:J110">
    <cfRule type="expression" dxfId="31" priority="195">
      <formula>#REF!&gt;#REF!</formula>
    </cfRule>
  </conditionalFormatting>
  <dataValidations count="5">
    <dataValidation type="list" allowBlank="1" showInputMessage="1" showErrorMessage="1" errorTitle="Input error" error="Something is wrong" promptTitle="Shotrages in the kit" prompt="Does this job has shortages? " sqref="D4:D110">
      <formula1>Shortages_List</formula1>
    </dataValidation>
    <dataValidation type="list" allowBlank="1" showInputMessage="1" showErrorMessage="1" sqref="Q4:Q110">
      <formula1 xml:space="preserve"> OutupMonth_List</formula1>
    </dataValidation>
    <dataValidation type="list" allowBlank="1" showInputMessage="1" showErrorMessage="1" errorTitle="Incorrect input" sqref="G4:G110">
      <formula1>Progress_List</formula1>
    </dataValidation>
    <dataValidation type="list" allowBlank="1" showInputMessage="1" showErrorMessage="1" sqref="R4:R110">
      <formula1 xml:space="preserve"> Years_List</formula1>
    </dataValidation>
    <dataValidation type="list" allowBlank="1" showInputMessage="1" showErrorMessage="1" sqref="I4:I110">
      <formula1>Operator_List</formula1>
    </dataValidation>
  </dataValidations>
  <hyperlinks>
    <hyperlink ref="N1" r:id="rId1" tooltip="Open help how to use the log"/>
  </hyperlinks>
  <pageMargins left="0.7" right="0.7" top="0.75" bottom="0.75" header="0.3" footer="0.3"/>
  <pageSetup paperSize="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2060" r:id="rId5" name="Button 12">
              <controlPr defaultSize="0" print="0" autoFill="0" autoPict="0" macro="[0]!FirstRecord" altText="Go to first record.">
                <anchor moveWithCells="1">
                  <from>
                    <xdr:col>5</xdr:col>
                    <xdr:colOff>733425</xdr:colOff>
                    <xdr:row>1</xdr:row>
                    <xdr:rowOff>85725</xdr:rowOff>
                  </from>
                  <to>
                    <xdr:col>6</xdr:col>
                    <xdr:colOff>552450</xdr:colOff>
                    <xdr:row>1</xdr:row>
                    <xdr:rowOff>409575</xdr:rowOff>
                  </to>
                </anchor>
              </controlPr>
            </control>
          </mc:Choice>
        </mc:AlternateContent>
        <mc:AlternateContent xmlns:mc="http://schemas.openxmlformats.org/markup-compatibility/2006">
          <mc:Choice Requires="x14">
            <control shapeId="2063" r:id="rId6" name="Button 15">
              <controlPr defaultSize="0" print="0" autoFill="0" autoPict="0" macro="[0]!LastRecord" altText="Go to last record.">
                <anchor moveWithCells="1">
                  <from>
                    <xdr:col>6</xdr:col>
                    <xdr:colOff>561975</xdr:colOff>
                    <xdr:row>1</xdr:row>
                    <xdr:rowOff>85725</xdr:rowOff>
                  </from>
                  <to>
                    <xdr:col>6</xdr:col>
                    <xdr:colOff>1647825</xdr:colOff>
                    <xdr:row>1</xdr:row>
                    <xdr:rowOff>409575</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19"/>
  <sheetViews>
    <sheetView topLeftCell="A4" workbookViewId="0">
      <selection activeCell="A22" sqref="A22"/>
    </sheetView>
  </sheetViews>
  <sheetFormatPr defaultRowHeight="15" x14ac:dyDescent="0.25"/>
  <cols>
    <col min="1" max="1" width="60.7109375" customWidth="1"/>
    <col min="2" max="2" width="20.7109375" customWidth="1"/>
  </cols>
  <sheetData>
    <row r="1" spans="1:2" ht="27" thickBot="1" x14ac:dyDescent="0.45">
      <c r="A1" s="156" t="s">
        <v>49</v>
      </c>
      <c r="B1" s="157"/>
    </row>
    <row r="2" spans="1:2" ht="30" customHeight="1" thickTop="1" x14ac:dyDescent="0.25">
      <c r="A2" s="162" t="s">
        <v>293</v>
      </c>
      <c r="B2" s="163"/>
    </row>
    <row r="3" spans="1:2" ht="30" customHeight="1" x14ac:dyDescent="0.25">
      <c r="A3" s="164" t="s">
        <v>332</v>
      </c>
      <c r="B3" s="165"/>
    </row>
    <row r="4" spans="1:2" ht="30" customHeight="1" x14ac:dyDescent="0.25">
      <c r="A4" s="154" t="s">
        <v>290</v>
      </c>
      <c r="B4" s="155"/>
    </row>
    <row r="5" spans="1:2" x14ac:dyDescent="0.25">
      <c r="A5" s="109" t="s">
        <v>292</v>
      </c>
      <c r="B5" s="110" t="s">
        <v>3</v>
      </c>
    </row>
    <row r="6" spans="1:2" x14ac:dyDescent="0.25">
      <c r="A6" s="5"/>
      <c r="B6" s="108" t="s">
        <v>2</v>
      </c>
    </row>
    <row r="7" spans="1:2" x14ac:dyDescent="0.25">
      <c r="A7" s="5"/>
      <c r="B7" s="108" t="s">
        <v>215</v>
      </c>
    </row>
    <row r="8" spans="1:2" x14ac:dyDescent="0.25">
      <c r="A8" s="5"/>
      <c r="B8" s="108" t="s">
        <v>75</v>
      </c>
    </row>
    <row r="9" spans="1:2" x14ac:dyDescent="0.25">
      <c r="A9" s="111"/>
      <c r="B9" s="112" t="s">
        <v>208</v>
      </c>
    </row>
    <row r="10" spans="1:2" x14ac:dyDescent="0.25">
      <c r="A10" s="115" t="s">
        <v>287</v>
      </c>
      <c r="B10" s="116" t="s">
        <v>31</v>
      </c>
    </row>
    <row r="11" spans="1:2" x14ac:dyDescent="0.25">
      <c r="A11" s="117"/>
      <c r="B11" s="125" t="s">
        <v>334</v>
      </c>
    </row>
    <row r="12" spans="1:2" x14ac:dyDescent="0.25">
      <c r="A12" s="113"/>
      <c r="B12" s="114" t="s">
        <v>205</v>
      </c>
    </row>
    <row r="13" spans="1:2" ht="75" customHeight="1" x14ac:dyDescent="0.25">
      <c r="A13" s="164" t="s">
        <v>335</v>
      </c>
      <c r="B13" s="165"/>
    </row>
    <row r="14" spans="1:2" x14ac:dyDescent="0.25">
      <c r="A14" s="150" t="s">
        <v>336</v>
      </c>
      <c r="B14" s="151"/>
    </row>
    <row r="15" spans="1:2" x14ac:dyDescent="0.25">
      <c r="A15" s="166" t="s">
        <v>288</v>
      </c>
      <c r="B15" s="167"/>
    </row>
    <row r="16" spans="1:2" ht="45" customHeight="1" x14ac:dyDescent="0.25">
      <c r="A16" s="158" t="s">
        <v>333</v>
      </c>
      <c r="B16" s="159"/>
    </row>
    <row r="17" spans="1:2" ht="30" customHeight="1" x14ac:dyDescent="0.25">
      <c r="A17" s="160" t="s">
        <v>289</v>
      </c>
      <c r="B17" s="161"/>
    </row>
    <row r="18" spans="1:2" x14ac:dyDescent="0.25">
      <c r="A18" s="150" t="s">
        <v>337</v>
      </c>
      <c r="B18" s="151"/>
    </row>
    <row r="19" spans="1:2" ht="15.75" thickBot="1" x14ac:dyDescent="0.3">
      <c r="A19" s="152" t="s">
        <v>291</v>
      </c>
      <c r="B19" s="153"/>
    </row>
  </sheetData>
  <mergeCells count="11">
    <mergeCell ref="A18:B18"/>
    <mergeCell ref="A19:B19"/>
    <mergeCell ref="A4:B4"/>
    <mergeCell ref="A1:B1"/>
    <mergeCell ref="A16:B16"/>
    <mergeCell ref="A17:B17"/>
    <mergeCell ref="A2:B2"/>
    <mergeCell ref="A3:B3"/>
    <mergeCell ref="A14:B14"/>
    <mergeCell ref="A13:B13"/>
    <mergeCell ref="A15:B15"/>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25"/>
  <sheetViews>
    <sheetView workbookViewId="0">
      <selection activeCell="C24" sqref="C24"/>
    </sheetView>
  </sheetViews>
  <sheetFormatPr defaultRowHeight="15" x14ac:dyDescent="0.25"/>
  <cols>
    <col min="1" max="1" width="14.140625" bestFit="1" customWidth="1"/>
    <col min="2" max="2" width="35.42578125" bestFit="1" customWidth="1"/>
    <col min="3" max="3" width="70.42578125" customWidth="1"/>
    <col min="4" max="4" width="35.85546875" bestFit="1" customWidth="1"/>
    <col min="5" max="5" width="11.140625" bestFit="1" customWidth="1"/>
  </cols>
  <sheetData>
    <row r="1" spans="1:4" ht="26.25" x14ac:dyDescent="0.4">
      <c r="A1" s="169" t="s">
        <v>281</v>
      </c>
      <c r="B1" s="170"/>
      <c r="C1" s="170"/>
      <c r="D1" s="171"/>
    </row>
    <row r="2" spans="1:4" ht="19.5" thickBot="1" x14ac:dyDescent="0.35">
      <c r="A2" s="99" t="s">
        <v>285</v>
      </c>
      <c r="B2" s="100" t="s">
        <v>61</v>
      </c>
      <c r="C2" s="101" t="s">
        <v>51</v>
      </c>
      <c r="D2" s="102" t="s">
        <v>253</v>
      </c>
    </row>
    <row r="3" spans="1:4" ht="15.75" thickTop="1" x14ac:dyDescent="0.25">
      <c r="A3" s="96" t="s">
        <v>0</v>
      </c>
      <c r="B3" s="97" t="s">
        <v>50</v>
      </c>
      <c r="C3" s="97"/>
      <c r="D3" s="98" t="s">
        <v>270</v>
      </c>
    </row>
    <row r="4" spans="1:4" x14ac:dyDescent="0.25">
      <c r="A4" s="28" t="s">
        <v>9</v>
      </c>
      <c r="B4" s="22" t="s">
        <v>255</v>
      </c>
      <c r="C4" s="88"/>
      <c r="D4" s="24" t="s">
        <v>270</v>
      </c>
    </row>
    <row r="5" spans="1:4" x14ac:dyDescent="0.25">
      <c r="A5" s="25" t="s">
        <v>1</v>
      </c>
      <c r="B5" s="93" t="s">
        <v>52</v>
      </c>
      <c r="C5" s="93"/>
      <c r="D5" s="94" t="s">
        <v>270</v>
      </c>
    </row>
    <row r="6" spans="1:4" x14ac:dyDescent="0.25">
      <c r="A6" s="28" t="s">
        <v>3</v>
      </c>
      <c r="B6" s="22" t="s">
        <v>256</v>
      </c>
      <c r="C6" s="88" t="s">
        <v>58</v>
      </c>
      <c r="D6" s="24" t="s">
        <v>270</v>
      </c>
    </row>
    <row r="7" spans="1:4" x14ac:dyDescent="0.25">
      <c r="A7" s="28" t="s">
        <v>59</v>
      </c>
      <c r="B7" s="22" t="s">
        <v>257</v>
      </c>
      <c r="C7" s="88" t="s">
        <v>258</v>
      </c>
      <c r="D7" s="24" t="s">
        <v>270</v>
      </c>
    </row>
    <row r="8" spans="1:4" x14ac:dyDescent="0.25">
      <c r="A8" s="28" t="s">
        <v>165</v>
      </c>
      <c r="B8" s="22" t="s">
        <v>259</v>
      </c>
      <c r="C8" s="88" t="s">
        <v>260</v>
      </c>
      <c r="D8" s="24" t="s">
        <v>270</v>
      </c>
    </row>
    <row r="9" spans="1:4" x14ac:dyDescent="0.25">
      <c r="A9" s="23" t="s">
        <v>2</v>
      </c>
      <c r="B9" s="22" t="s">
        <v>53</v>
      </c>
      <c r="C9" s="88" t="s">
        <v>54</v>
      </c>
      <c r="D9" s="24" t="s">
        <v>270</v>
      </c>
    </row>
    <row r="10" spans="1:4" x14ac:dyDescent="0.25">
      <c r="A10" s="23" t="s">
        <v>31</v>
      </c>
      <c r="B10" s="22" t="s">
        <v>55</v>
      </c>
      <c r="C10" s="103" t="s">
        <v>284</v>
      </c>
      <c r="D10" s="24" t="s">
        <v>270</v>
      </c>
    </row>
    <row r="11" spans="1:4" x14ac:dyDescent="0.25">
      <c r="A11" s="23" t="s">
        <v>215</v>
      </c>
      <c r="B11" s="22" t="s">
        <v>261</v>
      </c>
      <c r="C11" s="88" t="s">
        <v>262</v>
      </c>
      <c r="D11" s="24" t="s">
        <v>270</v>
      </c>
    </row>
    <row r="12" spans="1:4" x14ac:dyDescent="0.25">
      <c r="A12" s="25" t="s">
        <v>27</v>
      </c>
      <c r="B12" s="93" t="s">
        <v>56</v>
      </c>
      <c r="C12" s="95" t="s">
        <v>263</v>
      </c>
      <c r="D12" s="94" t="s">
        <v>270</v>
      </c>
    </row>
    <row r="13" spans="1:4" x14ac:dyDescent="0.25">
      <c r="A13" s="25" t="s">
        <v>10</v>
      </c>
      <c r="B13" s="93" t="s">
        <v>57</v>
      </c>
      <c r="C13" s="95" t="s">
        <v>264</v>
      </c>
      <c r="D13" s="94" t="s">
        <v>270</v>
      </c>
    </row>
    <row r="14" spans="1:4" x14ac:dyDescent="0.25">
      <c r="A14" s="23" t="s">
        <v>74</v>
      </c>
      <c r="B14" s="22" t="s">
        <v>265</v>
      </c>
      <c r="C14" s="88" t="s">
        <v>266</v>
      </c>
      <c r="D14" s="90" t="s">
        <v>270</v>
      </c>
    </row>
    <row r="15" spans="1:4" x14ac:dyDescent="0.25">
      <c r="A15" s="91" t="s">
        <v>267</v>
      </c>
      <c r="B15" s="80" t="s">
        <v>268</v>
      </c>
      <c r="C15" s="89" t="s">
        <v>269</v>
      </c>
      <c r="D15" s="90" t="s">
        <v>286</v>
      </c>
    </row>
    <row r="16" spans="1:4" x14ac:dyDescent="0.25">
      <c r="A16" s="91" t="s">
        <v>6</v>
      </c>
      <c r="B16" s="80"/>
      <c r="C16" s="89" t="s">
        <v>271</v>
      </c>
      <c r="D16" s="90" t="s">
        <v>270</v>
      </c>
    </row>
    <row r="17" spans="1:4" x14ac:dyDescent="0.25">
      <c r="A17" s="91" t="s">
        <v>330</v>
      </c>
      <c r="B17" s="80" t="s">
        <v>280</v>
      </c>
      <c r="C17" s="92" t="s">
        <v>283</v>
      </c>
      <c r="D17" s="90" t="s">
        <v>270</v>
      </c>
    </row>
    <row r="18" spans="1:4" ht="30" x14ac:dyDescent="0.25">
      <c r="A18" s="91" t="s">
        <v>205</v>
      </c>
      <c r="B18" s="80" t="s">
        <v>279</v>
      </c>
      <c r="C18" s="92" t="s">
        <v>282</v>
      </c>
      <c r="D18" s="90" t="s">
        <v>270</v>
      </c>
    </row>
    <row r="19" spans="1:4" ht="30" x14ac:dyDescent="0.25">
      <c r="A19" s="91" t="s">
        <v>272</v>
      </c>
      <c r="B19" s="80" t="s">
        <v>276</v>
      </c>
      <c r="C19" s="122" t="s">
        <v>329</v>
      </c>
      <c r="D19" s="90" t="s">
        <v>278</v>
      </c>
    </row>
    <row r="20" spans="1:4" ht="30" x14ac:dyDescent="0.25">
      <c r="A20" s="91" t="s">
        <v>204</v>
      </c>
      <c r="B20" s="80" t="s">
        <v>277</v>
      </c>
      <c r="C20" s="122" t="s">
        <v>329</v>
      </c>
      <c r="D20" s="90" t="s">
        <v>278</v>
      </c>
    </row>
    <row r="21" spans="1:4" x14ac:dyDescent="0.25">
      <c r="A21" s="91" t="s">
        <v>75</v>
      </c>
      <c r="B21" s="80" t="s">
        <v>273</v>
      </c>
      <c r="C21" s="104" t="s">
        <v>275</v>
      </c>
      <c r="D21" s="90" t="s">
        <v>278</v>
      </c>
    </row>
    <row r="22" spans="1:4" ht="15.75" thickBot="1" x14ac:dyDescent="0.3">
      <c r="A22" s="31" t="s">
        <v>208</v>
      </c>
      <c r="B22" s="26" t="s">
        <v>274</v>
      </c>
      <c r="C22" s="105" t="s">
        <v>275</v>
      </c>
      <c r="D22" s="27" t="s">
        <v>278</v>
      </c>
    </row>
    <row r="23" spans="1:4" x14ac:dyDescent="0.25">
      <c r="A23" s="29"/>
      <c r="B23" s="12"/>
      <c r="C23" s="12"/>
      <c r="D23" s="12"/>
    </row>
    <row r="24" spans="1:4" x14ac:dyDescent="0.25">
      <c r="A24" s="168" t="s">
        <v>60</v>
      </c>
      <c r="B24" s="168"/>
      <c r="C24" s="87"/>
    </row>
    <row r="25" spans="1:4" x14ac:dyDescent="0.25">
      <c r="A25" s="30"/>
      <c r="B25" s="30"/>
      <c r="C25" s="87"/>
    </row>
  </sheetData>
  <mergeCells count="2">
    <mergeCell ref="A24:B24"/>
    <mergeCell ref="A1:D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F3:I7"/>
  <sheetViews>
    <sheetView showRowColHeaders="0" tabSelected="1" zoomScaleNormal="100" workbookViewId="0">
      <selection activeCell="I22" sqref="I22"/>
    </sheetView>
  </sheetViews>
  <sheetFormatPr defaultRowHeight="15" x14ac:dyDescent="0.25"/>
  <cols>
    <col min="1" max="1" width="5.7109375" customWidth="1"/>
    <col min="2" max="3" width="8.7109375" customWidth="1"/>
    <col min="4" max="4" width="14.7109375" customWidth="1"/>
    <col min="5" max="5" width="5.7109375" customWidth="1"/>
    <col min="6" max="6" width="11.28515625" customWidth="1"/>
    <col min="7" max="7" width="4.85546875" bestFit="1" customWidth="1"/>
    <col min="8" max="8" width="7.28515625" bestFit="1" customWidth="1"/>
    <col min="9" max="9" width="10.85546875" bestFit="1" customWidth="1"/>
    <col min="10" max="10" width="5.7109375" customWidth="1"/>
    <col min="11" max="18" width="16.28515625" customWidth="1"/>
    <col min="19" max="23" width="16.28515625" bestFit="1" customWidth="1"/>
    <col min="24" max="24" width="11.28515625" bestFit="1" customWidth="1"/>
  </cols>
  <sheetData>
    <row r="3" spans="6:9" x14ac:dyDescent="0.25">
      <c r="G3" t="s">
        <v>357</v>
      </c>
      <c r="H3" t="s">
        <v>358</v>
      </c>
      <c r="I3" t="s">
        <v>205</v>
      </c>
    </row>
    <row r="4" spans="6:9" x14ac:dyDescent="0.25">
      <c r="F4" s="141" t="s">
        <v>353</v>
      </c>
      <c r="G4" s="142">
        <v>362</v>
      </c>
      <c r="H4" s="142">
        <v>341</v>
      </c>
      <c r="I4" s="142">
        <v>341</v>
      </c>
    </row>
    <row r="5" spans="6:9" x14ac:dyDescent="0.25">
      <c r="F5" s="141" t="s">
        <v>354</v>
      </c>
      <c r="G5" s="142">
        <v>416</v>
      </c>
      <c r="H5" s="142">
        <v>405</v>
      </c>
      <c r="I5" s="142">
        <v>405</v>
      </c>
    </row>
    <row r="6" spans="6:9" x14ac:dyDescent="0.25">
      <c r="F6" s="141" t="s">
        <v>355</v>
      </c>
      <c r="G6" s="142">
        <v>72</v>
      </c>
      <c r="H6" s="142">
        <v>40</v>
      </c>
      <c r="I6" s="142">
        <v>40</v>
      </c>
    </row>
    <row r="7" spans="6:9" x14ac:dyDescent="0.25">
      <c r="F7" s="141" t="s">
        <v>356</v>
      </c>
      <c r="G7" s="142">
        <v>850</v>
      </c>
      <c r="H7" s="142">
        <v>786</v>
      </c>
      <c r="I7" s="142">
        <v>786</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24"/>
  <sheetViews>
    <sheetView workbookViewId="0">
      <selection activeCell="F36" sqref="F36"/>
    </sheetView>
  </sheetViews>
  <sheetFormatPr defaultRowHeight="15" x14ac:dyDescent="0.25"/>
  <cols>
    <col min="1" max="1" width="23.140625" bestFit="1" customWidth="1"/>
    <col min="2" max="2" width="25.28515625" bestFit="1" customWidth="1"/>
    <col min="3" max="3" width="15.42578125" bestFit="1" customWidth="1"/>
    <col min="6" max="6" width="11.140625" bestFit="1" customWidth="1"/>
    <col min="7" max="7" width="7.140625" bestFit="1" customWidth="1"/>
    <col min="8" max="8" width="11.140625" customWidth="1"/>
    <col min="9" max="9" width="7.140625" customWidth="1"/>
    <col min="10" max="10" width="11.85546875" customWidth="1"/>
    <col min="13" max="13" width="20.7109375" customWidth="1"/>
    <col min="14" max="14" width="18.7109375" bestFit="1" customWidth="1"/>
  </cols>
  <sheetData>
    <row r="1" spans="1:14" ht="15.75" x14ac:dyDescent="0.25">
      <c r="A1" s="9" t="s">
        <v>2</v>
      </c>
      <c r="B1" s="10" t="s">
        <v>33</v>
      </c>
      <c r="C1" s="15" t="s">
        <v>171</v>
      </c>
      <c r="D1" s="15" t="s">
        <v>34</v>
      </c>
      <c r="E1" s="15" t="s">
        <v>34</v>
      </c>
      <c r="F1" s="11" t="s">
        <v>32</v>
      </c>
      <c r="G1" s="12"/>
      <c r="H1" s="29" t="s">
        <v>215</v>
      </c>
      <c r="I1" s="12"/>
      <c r="J1" s="3" t="s">
        <v>3</v>
      </c>
      <c r="K1" s="12"/>
      <c r="L1" s="12"/>
      <c r="M1" s="3" t="s">
        <v>100</v>
      </c>
      <c r="N1" s="3" t="s">
        <v>207</v>
      </c>
    </row>
    <row r="2" spans="1:14" x14ac:dyDescent="0.25">
      <c r="A2" s="5" t="s">
        <v>176</v>
      </c>
      <c r="B2" s="6">
        <v>0</v>
      </c>
      <c r="C2" s="13">
        <v>0</v>
      </c>
      <c r="D2" s="6">
        <v>0</v>
      </c>
      <c r="E2" s="13">
        <v>0</v>
      </c>
      <c r="F2" s="71">
        <f>E2</f>
        <v>0</v>
      </c>
      <c r="G2" s="12"/>
      <c r="H2" s="12"/>
      <c r="I2" s="12"/>
      <c r="J2" s="12"/>
      <c r="K2" s="12"/>
      <c r="L2" s="12"/>
      <c r="M2" s="36" t="s">
        <v>176</v>
      </c>
      <c r="N2" s="36"/>
    </row>
    <row r="3" spans="1:14" x14ac:dyDescent="0.25">
      <c r="A3" s="5" t="s">
        <v>18</v>
      </c>
      <c r="B3" s="6">
        <v>0.25</v>
      </c>
      <c r="C3" s="13">
        <f t="shared" ref="C3:C23" si="0">B3/B$24</f>
        <v>1.5460729746444033E-3</v>
      </c>
      <c r="D3" s="6">
        <v>0.25</v>
      </c>
      <c r="E3" s="13">
        <f t="shared" ref="E3:E24" si="1">D3/D$24</f>
        <v>1.8726591760299626E-2</v>
      </c>
      <c r="F3" s="71">
        <f>E2+F2</f>
        <v>0</v>
      </c>
      <c r="G3" s="37"/>
      <c r="H3" s="19" t="s">
        <v>216</v>
      </c>
      <c r="I3" s="17"/>
      <c r="J3" s="127" t="s">
        <v>4</v>
      </c>
      <c r="M3" s="73" t="s">
        <v>90</v>
      </c>
      <c r="N3" s="47">
        <v>1</v>
      </c>
    </row>
    <row r="4" spans="1:14" x14ac:dyDescent="0.25">
      <c r="A4" s="5" t="s">
        <v>19</v>
      </c>
      <c r="B4" s="6">
        <v>1.5</v>
      </c>
      <c r="C4" s="13">
        <f t="shared" si="0"/>
        <v>9.2764378478664197E-3</v>
      </c>
      <c r="D4" s="6">
        <v>1.5</v>
      </c>
      <c r="E4" s="13">
        <f t="shared" si="1"/>
        <v>0.11235955056179775</v>
      </c>
      <c r="F4" s="71">
        <f>E3+F3</f>
        <v>1.8726591760299626E-2</v>
      </c>
      <c r="G4" s="19"/>
      <c r="H4" s="19" t="s">
        <v>217</v>
      </c>
      <c r="I4" s="13"/>
      <c r="J4" s="12" t="s">
        <v>5</v>
      </c>
      <c r="M4" s="74" t="s">
        <v>91</v>
      </c>
      <c r="N4" s="48">
        <v>2</v>
      </c>
    </row>
    <row r="5" spans="1:14" x14ac:dyDescent="0.25">
      <c r="A5" s="5" t="s">
        <v>20</v>
      </c>
      <c r="B5" s="6">
        <v>0</v>
      </c>
      <c r="C5" s="13">
        <f t="shared" si="0"/>
        <v>0</v>
      </c>
      <c r="D5" s="6">
        <v>0.1</v>
      </c>
      <c r="E5" s="13">
        <f t="shared" si="1"/>
        <v>7.4906367041198511E-3</v>
      </c>
      <c r="F5" s="71">
        <f>E4+F4</f>
        <v>0.13108614232209737</v>
      </c>
      <c r="G5" s="19"/>
      <c r="H5" s="37" t="s">
        <v>236</v>
      </c>
      <c r="I5" s="13"/>
      <c r="M5" s="73" t="s">
        <v>92</v>
      </c>
      <c r="N5" s="47">
        <v>3</v>
      </c>
    </row>
    <row r="6" spans="1:14" x14ac:dyDescent="0.25">
      <c r="A6" s="5" t="s">
        <v>21</v>
      </c>
      <c r="B6" s="6">
        <v>2</v>
      </c>
      <c r="C6" s="13">
        <f t="shared" si="0"/>
        <v>1.2368583797155226E-2</v>
      </c>
      <c r="D6" s="6">
        <v>2</v>
      </c>
      <c r="E6" s="13">
        <f t="shared" si="1"/>
        <v>0.14981273408239701</v>
      </c>
      <c r="F6" s="71">
        <f t="shared" ref="F6:F21" si="2">E5+F5</f>
        <v>0.13857677902621721</v>
      </c>
      <c r="G6" s="19"/>
      <c r="H6" s="19"/>
      <c r="I6" s="13"/>
      <c r="M6" s="74" t="s">
        <v>93</v>
      </c>
      <c r="N6" s="48">
        <v>4</v>
      </c>
    </row>
    <row r="7" spans="1:14" x14ac:dyDescent="0.25">
      <c r="A7" s="5" t="s">
        <v>22</v>
      </c>
      <c r="B7" s="6">
        <v>48</v>
      </c>
      <c r="C7" s="13">
        <f t="shared" si="0"/>
        <v>0.29684601113172543</v>
      </c>
      <c r="D7" s="6">
        <v>0.1</v>
      </c>
      <c r="E7" s="13">
        <f t="shared" si="1"/>
        <v>7.4906367041198511E-3</v>
      </c>
      <c r="F7" s="71">
        <f t="shared" si="2"/>
        <v>0.28838951310861421</v>
      </c>
      <c r="G7" s="19"/>
      <c r="H7" s="19"/>
      <c r="I7" s="13"/>
      <c r="J7" s="12" t="s">
        <v>208</v>
      </c>
      <c r="M7" s="73" t="s">
        <v>94</v>
      </c>
      <c r="N7" s="47">
        <v>5</v>
      </c>
    </row>
    <row r="8" spans="1:14" x14ac:dyDescent="0.25">
      <c r="A8" s="5" t="s">
        <v>23</v>
      </c>
      <c r="B8" s="6">
        <v>0.45</v>
      </c>
      <c r="C8" s="13">
        <f t="shared" si="0"/>
        <v>2.7829313543599262E-3</v>
      </c>
      <c r="D8" s="6">
        <v>0.75</v>
      </c>
      <c r="E8" s="13">
        <f t="shared" si="1"/>
        <v>5.6179775280898875E-2</v>
      </c>
      <c r="F8" s="71">
        <f t="shared" si="2"/>
        <v>0.29588014981273408</v>
      </c>
      <c r="G8" s="19"/>
      <c r="H8" s="19"/>
      <c r="I8" s="13"/>
      <c r="J8" s="12"/>
      <c r="M8" s="74" t="s">
        <v>95</v>
      </c>
      <c r="N8" s="48">
        <v>6</v>
      </c>
    </row>
    <row r="9" spans="1:14" x14ac:dyDescent="0.25">
      <c r="A9" s="5" t="s">
        <v>24</v>
      </c>
      <c r="B9" s="6">
        <v>4</v>
      </c>
      <c r="C9" s="13">
        <f t="shared" si="0"/>
        <v>2.4737167594310452E-2</v>
      </c>
      <c r="D9" s="6">
        <v>0.2</v>
      </c>
      <c r="E9" s="13">
        <f t="shared" si="1"/>
        <v>1.4981273408239702E-2</v>
      </c>
      <c r="F9" s="71">
        <f t="shared" si="2"/>
        <v>0.35205992509363293</v>
      </c>
      <c r="G9" s="19"/>
      <c r="H9" s="19"/>
      <c r="I9" s="13"/>
      <c r="J9" s="127">
        <v>2017</v>
      </c>
      <c r="M9" s="73" t="s">
        <v>96</v>
      </c>
      <c r="N9" s="47">
        <v>7</v>
      </c>
    </row>
    <row r="10" spans="1:14" x14ac:dyDescent="0.25">
      <c r="A10" s="5" t="s">
        <v>25</v>
      </c>
      <c r="B10" s="6">
        <v>1</v>
      </c>
      <c r="C10" s="13">
        <f t="shared" si="0"/>
        <v>6.1842918985776131E-3</v>
      </c>
      <c r="D10" s="6">
        <v>1</v>
      </c>
      <c r="E10" s="13">
        <f t="shared" si="1"/>
        <v>7.4906367041198504E-2</v>
      </c>
      <c r="F10" s="71">
        <f t="shared" si="2"/>
        <v>0.36704119850187261</v>
      </c>
      <c r="G10" s="19"/>
      <c r="H10" s="19"/>
      <c r="I10" s="13"/>
      <c r="J10" s="127">
        <v>2018</v>
      </c>
      <c r="M10" s="74" t="s">
        <v>97</v>
      </c>
      <c r="N10" s="48">
        <v>8</v>
      </c>
    </row>
    <row r="11" spans="1:14" x14ac:dyDescent="0.25">
      <c r="A11" s="5" t="s">
        <v>26</v>
      </c>
      <c r="B11" s="6">
        <v>2</v>
      </c>
      <c r="C11" s="13">
        <f t="shared" si="0"/>
        <v>1.2368583797155226E-2</v>
      </c>
      <c r="D11" s="6">
        <v>0.1</v>
      </c>
      <c r="E11" s="13">
        <f t="shared" si="1"/>
        <v>7.4906367041198511E-3</v>
      </c>
      <c r="F11" s="71">
        <f t="shared" si="2"/>
        <v>0.44194756554307113</v>
      </c>
      <c r="G11" s="19"/>
      <c r="H11" s="19"/>
      <c r="I11" s="13"/>
      <c r="J11" s="127">
        <v>2019</v>
      </c>
      <c r="M11" s="73" t="s">
        <v>98</v>
      </c>
      <c r="N11" s="47">
        <v>9</v>
      </c>
    </row>
    <row r="12" spans="1:14" x14ac:dyDescent="0.25">
      <c r="A12" s="5" t="s">
        <v>14</v>
      </c>
      <c r="B12" s="6">
        <v>1</v>
      </c>
      <c r="C12" s="13">
        <f t="shared" si="0"/>
        <v>6.1842918985776131E-3</v>
      </c>
      <c r="D12" s="6">
        <v>1</v>
      </c>
      <c r="E12" s="13">
        <f t="shared" si="1"/>
        <v>7.4906367041198504E-2</v>
      </c>
      <c r="F12" s="71">
        <f t="shared" si="2"/>
        <v>0.449438202247191</v>
      </c>
      <c r="G12" s="19"/>
      <c r="H12" s="19"/>
      <c r="I12" s="13"/>
      <c r="J12" s="127">
        <v>2020</v>
      </c>
      <c r="M12" s="74" t="s">
        <v>76</v>
      </c>
      <c r="N12" s="48">
        <v>10</v>
      </c>
    </row>
    <row r="13" spans="1:14" x14ac:dyDescent="0.25">
      <c r="A13" s="5" t="s">
        <v>15</v>
      </c>
      <c r="B13" s="6">
        <v>0</v>
      </c>
      <c r="C13" s="13">
        <f t="shared" si="0"/>
        <v>0</v>
      </c>
      <c r="D13" s="6">
        <v>0.1</v>
      </c>
      <c r="E13" s="13">
        <f t="shared" si="1"/>
        <v>7.4906367041198511E-3</v>
      </c>
      <c r="F13" s="71">
        <f t="shared" si="2"/>
        <v>0.52434456928838946</v>
      </c>
      <c r="G13" s="19"/>
      <c r="H13" s="19"/>
      <c r="I13" s="13"/>
      <c r="M13" s="73" t="s">
        <v>88</v>
      </c>
      <c r="N13" s="47">
        <v>11</v>
      </c>
    </row>
    <row r="14" spans="1:14" x14ac:dyDescent="0.25">
      <c r="A14" s="5" t="s">
        <v>16</v>
      </c>
      <c r="B14" s="6">
        <v>0</v>
      </c>
      <c r="C14" s="13">
        <f t="shared" si="0"/>
        <v>0</v>
      </c>
      <c r="D14" s="6">
        <v>0.2</v>
      </c>
      <c r="E14" s="13">
        <f t="shared" si="1"/>
        <v>1.4981273408239702E-2</v>
      </c>
      <c r="F14" s="71">
        <f t="shared" si="2"/>
        <v>0.53183520599250933</v>
      </c>
      <c r="G14" s="19"/>
      <c r="H14" s="19"/>
      <c r="I14" s="13"/>
      <c r="M14" s="74" t="s">
        <v>99</v>
      </c>
      <c r="N14" s="48">
        <v>12</v>
      </c>
    </row>
    <row r="15" spans="1:14" x14ac:dyDescent="0.25">
      <c r="A15" s="5" t="s">
        <v>17</v>
      </c>
      <c r="B15" s="6">
        <v>96</v>
      </c>
      <c r="C15" s="13">
        <f t="shared" si="0"/>
        <v>0.59369202226345086</v>
      </c>
      <c r="D15" s="6">
        <v>0.2</v>
      </c>
      <c r="E15" s="13">
        <f t="shared" si="1"/>
        <v>1.4981273408239702E-2</v>
      </c>
      <c r="F15" s="71">
        <f t="shared" si="2"/>
        <v>0.54681647940074907</v>
      </c>
      <c r="G15" s="19"/>
      <c r="H15" s="19"/>
      <c r="I15" s="13"/>
    </row>
    <row r="16" spans="1:14" x14ac:dyDescent="0.25">
      <c r="A16" s="5" t="s">
        <v>36</v>
      </c>
      <c r="B16" s="6">
        <v>2</v>
      </c>
      <c r="C16" s="13">
        <f t="shared" si="0"/>
        <v>1.2368583797155226E-2</v>
      </c>
      <c r="D16" s="6">
        <v>2</v>
      </c>
      <c r="E16" s="13">
        <f t="shared" si="1"/>
        <v>0.14981273408239701</v>
      </c>
      <c r="F16" s="71">
        <f t="shared" si="2"/>
        <v>0.5617977528089888</v>
      </c>
      <c r="G16" s="19"/>
      <c r="H16" s="19"/>
      <c r="I16" s="13"/>
      <c r="M16" s="48" t="s">
        <v>338</v>
      </c>
      <c r="N16" s="48"/>
    </row>
    <row r="17" spans="1:14" x14ac:dyDescent="0.25">
      <c r="A17" s="5" t="s">
        <v>37</v>
      </c>
      <c r="B17" s="6">
        <v>0</v>
      </c>
      <c r="C17" s="13">
        <f t="shared" si="0"/>
        <v>0</v>
      </c>
      <c r="D17" s="6">
        <v>0.1</v>
      </c>
      <c r="E17" s="13">
        <f t="shared" si="1"/>
        <v>7.4906367041198511E-3</v>
      </c>
      <c r="F17" s="71">
        <f t="shared" si="2"/>
        <v>0.71161048689138584</v>
      </c>
      <c r="G17" s="19"/>
      <c r="H17" s="19"/>
      <c r="I17" s="13"/>
      <c r="M17" s="126" t="s">
        <v>17</v>
      </c>
      <c r="N17" s="126">
        <f>IFERROR(VALUE(LEFT(M17,2)),0)</f>
        <v>13</v>
      </c>
    </row>
    <row r="18" spans="1:14" x14ac:dyDescent="0.25">
      <c r="A18" s="5" t="s">
        <v>39</v>
      </c>
      <c r="B18" s="6">
        <v>2</v>
      </c>
      <c r="C18" s="13">
        <f t="shared" si="0"/>
        <v>1.2368583797155226E-2</v>
      </c>
      <c r="D18" s="6">
        <v>2</v>
      </c>
      <c r="E18" s="13">
        <f t="shared" si="1"/>
        <v>0.14981273408239701</v>
      </c>
      <c r="F18" s="71">
        <f t="shared" si="2"/>
        <v>0.71910112359550571</v>
      </c>
      <c r="G18" s="19"/>
      <c r="H18" s="19"/>
      <c r="I18" s="13"/>
    </row>
    <row r="19" spans="1:14" x14ac:dyDescent="0.25">
      <c r="A19" s="5" t="s">
        <v>40</v>
      </c>
      <c r="B19" s="6">
        <v>0</v>
      </c>
      <c r="C19" s="13">
        <f t="shared" si="0"/>
        <v>0</v>
      </c>
      <c r="D19" s="6">
        <v>0.25</v>
      </c>
      <c r="E19" s="13">
        <f t="shared" si="1"/>
        <v>1.8726591760299626E-2</v>
      </c>
      <c r="F19" s="71">
        <f t="shared" si="2"/>
        <v>0.86891385767790275</v>
      </c>
      <c r="G19" s="19"/>
      <c r="H19" s="19"/>
      <c r="I19" s="13"/>
    </row>
    <row r="20" spans="1:14" x14ac:dyDescent="0.25">
      <c r="A20" s="38" t="s">
        <v>162</v>
      </c>
      <c r="B20" s="6">
        <v>1</v>
      </c>
      <c r="C20" s="13">
        <f t="shared" si="0"/>
        <v>6.1842918985776131E-3</v>
      </c>
      <c r="D20" s="6">
        <v>1</v>
      </c>
      <c r="E20" s="13">
        <f t="shared" si="1"/>
        <v>7.4906367041198504E-2</v>
      </c>
      <c r="F20" s="71">
        <f t="shared" si="2"/>
        <v>0.88764044943820242</v>
      </c>
      <c r="G20" s="19"/>
      <c r="H20" s="19"/>
      <c r="I20" s="13"/>
    </row>
    <row r="21" spans="1:14" x14ac:dyDescent="0.25">
      <c r="A21" s="38" t="s">
        <v>41</v>
      </c>
      <c r="B21" s="6">
        <v>0.5</v>
      </c>
      <c r="C21" s="13">
        <f t="shared" si="0"/>
        <v>3.0921459492888066E-3</v>
      </c>
      <c r="D21" s="6">
        <v>0.5</v>
      </c>
      <c r="E21" s="13">
        <f t="shared" si="1"/>
        <v>3.7453183520599252E-2</v>
      </c>
      <c r="F21" s="71">
        <f t="shared" si="2"/>
        <v>0.96254681647940088</v>
      </c>
      <c r="G21" s="19"/>
      <c r="H21" s="19"/>
      <c r="I21" s="13"/>
    </row>
    <row r="22" spans="1:14" x14ac:dyDescent="0.25">
      <c r="A22" s="38" t="s">
        <v>43</v>
      </c>
      <c r="B22" s="6">
        <v>0</v>
      </c>
      <c r="C22" s="13">
        <f t="shared" si="0"/>
        <v>0</v>
      </c>
      <c r="D22" s="6">
        <v>0</v>
      </c>
      <c r="E22" s="13">
        <f t="shared" si="1"/>
        <v>0</v>
      </c>
      <c r="F22" s="71">
        <f>E21+F21</f>
        <v>1.0000000000000002</v>
      </c>
      <c r="G22" s="19"/>
      <c r="H22" s="19"/>
      <c r="I22" s="13"/>
    </row>
    <row r="23" spans="1:14" x14ac:dyDescent="0.25">
      <c r="A23" s="39" t="s">
        <v>42</v>
      </c>
      <c r="B23" s="4">
        <v>0</v>
      </c>
      <c r="C23" s="14">
        <f t="shared" si="0"/>
        <v>0</v>
      </c>
      <c r="D23" s="4">
        <v>0</v>
      </c>
      <c r="E23" s="14">
        <f t="shared" si="1"/>
        <v>0</v>
      </c>
      <c r="F23" s="72">
        <f>E21+F21</f>
        <v>1.0000000000000002</v>
      </c>
      <c r="G23" s="19"/>
      <c r="H23" s="19"/>
      <c r="I23" s="13"/>
    </row>
    <row r="24" spans="1:14" ht="15.75" thickBot="1" x14ac:dyDescent="0.3">
      <c r="A24" s="7"/>
      <c r="B24" s="8">
        <f>SUM(B2:B23)</f>
        <v>161.69999999999999</v>
      </c>
      <c r="C24" s="16">
        <f>SUM(C3:C23)</f>
        <v>1</v>
      </c>
      <c r="D24" s="8">
        <f>SUM(D3:D23)</f>
        <v>13.35</v>
      </c>
      <c r="E24" s="20">
        <f t="shared" si="1"/>
        <v>1</v>
      </c>
      <c r="F24" s="21"/>
      <c r="G24" s="18"/>
      <c r="H24" s="18"/>
      <c r="I24" s="13"/>
    </row>
  </sheetData>
  <dataConsolidate/>
  <dataValidations disablePrompts="1" count="1">
    <dataValidation type="list" allowBlank="1" showInputMessage="1" showErrorMessage="1" sqref="M17">
      <formula1>Progress_List</formula1>
    </dataValidation>
  </dataValidations>
  <pageMargins left="0.7" right="0.7" top="0.75" bottom="0.75" header="0.3" footer="0.3"/>
  <pageSetup paperSize="9" orientation="portrait" r:id="rId1"/>
  <tableParts count="4">
    <tablePart r:id="rId2"/>
    <tablePart r:id="rId3"/>
    <tablePart r:id="rId4"/>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item1.xml>�� &  &  
</file>

<file path=customXml/item2.xml>�� 
</file>

<file path=customXml/item3.xml>�� 
</file>

<file path=customXml/item4.xml>�� &  &  
</file>

<file path=customXml/item5.xml>�� 
</file>

<file path=customXml/item6.xml>�� &  &  
</file>

<file path=customXml/item7.xml>�� 
</file>

<file path=customXml/item8.xml>�� 
</file>

<file path=customXml/item9.xml>�� 
</file>

<file path=customXml/item10.xml>�� 
</file>

<file path=customXml/item11.xml>�� 
</file>

<file path=customXml/item12.xml>�� &  &  &  &  &  &  
</file>

<file path=customXml/item13.xml>�� 
</file>

<file path=customXml/item14.xml>�� 
</file>

<file path=customXml/item15.xml>�� &  &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  &  
</file>

<file path=customXml/item30.xml>�� 
</file>

<file path=customXml/item31.xml>�� 
</file>

<file path=customXml/item32.xml>�� 
</file>

<file path=customXml/item33.xml>�� 
</file>

<file path=customXml/item34.xml>�� 
</file>

<file path=customXml/item35.xml>�� 
</file>

<file path=customXml/item36.xml>�� &  &  
</file>

<file path=customXml/item37.xml>�� 
</file>

<file path=customXml/item38.xml>�� 
</file>

<file path=customXml/itemProps1.xml><?xml version="1.0" encoding="utf-8"?>
<ds:datastoreItem xmlns:ds="http://schemas.openxmlformats.org/officeDocument/2006/customXml" ds:itemID="{B8DC0A8D-E83E-4F9B-9192-A6E0888D957F}">
  <ds:schemaRefs/>
</ds:datastoreItem>
</file>

<file path=customXml/itemProps2.xml><?xml version="1.0" encoding="utf-8"?>
<ds:datastoreItem xmlns:ds="http://schemas.openxmlformats.org/officeDocument/2006/customXml" ds:itemID="{324241C5-A3B7-4E23-8BD9-1EE0C3ADD7FA}">
  <ds:schemaRefs/>
</ds:datastoreItem>
</file>

<file path=customXml/itemProps3.xml><?xml version="1.0" encoding="utf-8"?>
<ds:datastoreItem xmlns:ds="http://schemas.openxmlformats.org/officeDocument/2006/customXml" ds:itemID="{6E1848ED-7D7F-492D-A7BF-FC0F92089637}">
  <ds:schemaRefs>
    <ds:schemaRef ds:uri="http://schemas.microsoft.com/DataMashup"/>
  </ds:schemaRefs>
</ds:datastoreItem>
</file>

<file path=customXml/itemProps4.xml><?xml version="1.0" encoding="utf-8"?>
<ds:datastoreItem xmlns:ds="http://schemas.openxmlformats.org/officeDocument/2006/customXml" ds:itemID="{E70945CF-B060-4BFC-A947-9C8E51857B05}">
  <ds:schemaRefs/>
</ds:datastoreItem>
</file>

<file path=customXml/itemProps5.xml><?xml version="1.0" encoding="utf-8"?>
<ds:datastoreItem xmlns:ds="http://schemas.openxmlformats.org/officeDocument/2006/customXml" ds:itemID="{6B8A58C9-A8ED-4DD4-99E9-3644867C0DA4}">
  <ds:schemaRefs/>
</ds:datastoreItem>
</file>

<file path=customXml/itemProps6.xml><?xml version="1.0" encoding="utf-8"?>
<ds:datastoreItem xmlns:ds="http://schemas.openxmlformats.org/officeDocument/2006/customXml" ds:itemID="{B3DD8E60-89AC-404B-BAEF-38AC0B9AEE6D}">
  <ds:schemaRefs/>
</ds:datastoreItem>
</file>

<file path=customXml/itemProps7.xml><?xml version="1.0" encoding="utf-8"?>
<ds:datastoreItem xmlns:ds="http://schemas.openxmlformats.org/officeDocument/2006/customXml" ds:itemID="{B4B64E02-5222-4F2B-9574-DA9EB17F1CE2}">
  <ds:schemaRefs/>
</ds:datastoreItem>
</file>

<file path=customXml/itemProps8.xml><?xml version="1.0" encoding="utf-8"?>
<ds:datastoreItem xmlns:ds="http://schemas.openxmlformats.org/officeDocument/2006/customXml" ds:itemID="{7A89A817-8565-4263-9C57-592B6A067409}">
  <ds:schemaRefs/>
</ds:datastoreItem>
</file>

<file path=customXml/itemProps9.xml><?xml version="1.0" encoding="utf-8"?>
<ds:datastoreItem xmlns:ds="http://schemas.openxmlformats.org/officeDocument/2006/customXml" ds:itemID="{2AC74B3F-9141-4BBC-96C9-EA7456D79686}">
  <ds:schemaRefs/>
</ds:datastoreItem>
</file>

<file path=customXml/itemProps10.xml><?xml version="1.0" encoding="utf-8"?>
<ds:datastoreItem xmlns:ds="http://schemas.openxmlformats.org/officeDocument/2006/customXml" ds:itemID="{67BEDC98-49A1-4069-9555-38982AED9A11}">
  <ds:schemaRefs/>
</ds:datastoreItem>
</file>

<file path=customXml/itemProps11.xml><?xml version="1.0" encoding="utf-8"?>
<ds:datastoreItem xmlns:ds="http://schemas.openxmlformats.org/officeDocument/2006/customXml" ds:itemID="{18FB803C-2548-4DA9-89E5-A07FC3F860F6}">
  <ds:schemaRefs/>
</ds:datastoreItem>
</file>

<file path=customXml/itemProps12.xml><?xml version="1.0" encoding="utf-8"?>
<ds:datastoreItem xmlns:ds="http://schemas.openxmlformats.org/officeDocument/2006/customXml" ds:itemID="{C9C076D6-9C7B-4CAA-B7DF-2494F7844965}">
  <ds:schemaRefs/>
</ds:datastoreItem>
</file>

<file path=customXml/itemProps13.xml><?xml version="1.0" encoding="utf-8"?>
<ds:datastoreItem xmlns:ds="http://schemas.openxmlformats.org/officeDocument/2006/customXml" ds:itemID="{7CF2FE2B-B196-4EF8-9E93-C7818B893F37}">
  <ds:schemaRefs/>
</ds:datastoreItem>
</file>

<file path=customXml/itemProps14.xml><?xml version="1.0" encoding="utf-8"?>
<ds:datastoreItem xmlns:ds="http://schemas.openxmlformats.org/officeDocument/2006/customXml" ds:itemID="{F1014242-4A05-4C43-A19A-C008BD513E1F}">
  <ds:schemaRefs/>
</ds:datastoreItem>
</file>

<file path=customXml/itemProps15.xml><?xml version="1.0" encoding="utf-8"?>
<ds:datastoreItem xmlns:ds="http://schemas.openxmlformats.org/officeDocument/2006/customXml" ds:itemID="{E43C5826-D052-46D8-A1DC-F612808802E5}">
  <ds:schemaRefs/>
</ds:datastoreItem>
</file>

<file path=customXml/itemProps16.xml><?xml version="1.0" encoding="utf-8"?>
<ds:datastoreItem xmlns:ds="http://schemas.openxmlformats.org/officeDocument/2006/customXml" ds:itemID="{78E3FFC9-8C64-4E99-A52D-46B48F7E89CA}">
  <ds:schemaRefs/>
</ds:datastoreItem>
</file>

<file path=customXml/itemProps17.xml><?xml version="1.0" encoding="utf-8"?>
<ds:datastoreItem xmlns:ds="http://schemas.openxmlformats.org/officeDocument/2006/customXml" ds:itemID="{B465FACF-56DE-42EF-84F0-D794384E1210}">
  <ds:schemaRefs/>
</ds:datastoreItem>
</file>

<file path=customXml/itemProps18.xml><?xml version="1.0" encoding="utf-8"?>
<ds:datastoreItem xmlns:ds="http://schemas.openxmlformats.org/officeDocument/2006/customXml" ds:itemID="{FB67737C-CCE4-4714-B161-AFBBB35EDEDE}">
  <ds:schemaRefs/>
</ds:datastoreItem>
</file>

<file path=customXml/itemProps19.xml><?xml version="1.0" encoding="utf-8"?>
<ds:datastoreItem xmlns:ds="http://schemas.openxmlformats.org/officeDocument/2006/customXml" ds:itemID="{014643FC-3FA9-4BE2-AAFB-6AA51CD44C5C}">
  <ds:schemaRefs/>
</ds:datastoreItem>
</file>

<file path=customXml/itemProps20.xml><?xml version="1.0" encoding="utf-8"?>
<ds:datastoreItem xmlns:ds="http://schemas.openxmlformats.org/officeDocument/2006/customXml" ds:itemID="{96D6E54E-9AF7-4B07-B304-00968081BA07}">
  <ds:schemaRefs/>
</ds:datastoreItem>
</file>

<file path=customXml/itemProps21.xml><?xml version="1.0" encoding="utf-8"?>
<ds:datastoreItem xmlns:ds="http://schemas.openxmlformats.org/officeDocument/2006/customXml" ds:itemID="{1AC01480-6BC5-4BA5-8662-29A7E81A9B3D}">
  <ds:schemaRefs/>
</ds:datastoreItem>
</file>

<file path=customXml/itemProps22.xml><?xml version="1.0" encoding="utf-8"?>
<ds:datastoreItem xmlns:ds="http://schemas.openxmlformats.org/officeDocument/2006/customXml" ds:itemID="{C50C9EB8-9AF5-4881-BC5E-5E50B27B49F7}">
  <ds:schemaRefs/>
</ds:datastoreItem>
</file>

<file path=customXml/itemProps23.xml><?xml version="1.0" encoding="utf-8"?>
<ds:datastoreItem xmlns:ds="http://schemas.openxmlformats.org/officeDocument/2006/customXml" ds:itemID="{2242501E-F2B8-44FE-879D-017516CB0029}">
  <ds:schemaRefs/>
</ds:datastoreItem>
</file>

<file path=customXml/itemProps24.xml><?xml version="1.0" encoding="utf-8"?>
<ds:datastoreItem xmlns:ds="http://schemas.openxmlformats.org/officeDocument/2006/customXml" ds:itemID="{92D66426-286B-48F1-B96A-3479EA93EFAD}">
  <ds:schemaRefs/>
</ds:datastoreItem>
</file>

<file path=customXml/itemProps25.xml><?xml version="1.0" encoding="utf-8"?>
<ds:datastoreItem xmlns:ds="http://schemas.openxmlformats.org/officeDocument/2006/customXml" ds:itemID="{3144BBA6-9B0C-4A01-888A-8733C48577D5}">
  <ds:schemaRefs/>
</ds:datastoreItem>
</file>

<file path=customXml/itemProps26.xml><?xml version="1.0" encoding="utf-8"?>
<ds:datastoreItem xmlns:ds="http://schemas.openxmlformats.org/officeDocument/2006/customXml" ds:itemID="{B7AA1C8F-C98C-45D3-ADE1-29E42FC61522}">
  <ds:schemaRefs/>
</ds:datastoreItem>
</file>

<file path=customXml/itemProps27.xml><?xml version="1.0" encoding="utf-8"?>
<ds:datastoreItem xmlns:ds="http://schemas.openxmlformats.org/officeDocument/2006/customXml" ds:itemID="{4C4E6452-7F33-439C-B054-F6C00F3344FC}">
  <ds:schemaRefs/>
</ds:datastoreItem>
</file>

<file path=customXml/itemProps28.xml><?xml version="1.0" encoding="utf-8"?>
<ds:datastoreItem xmlns:ds="http://schemas.openxmlformats.org/officeDocument/2006/customXml" ds:itemID="{CD01AC84-4342-4EAD-BD7E-B3C5814349B2}">
  <ds:schemaRefs/>
</ds:datastoreItem>
</file>

<file path=customXml/itemProps29.xml><?xml version="1.0" encoding="utf-8"?>
<ds:datastoreItem xmlns:ds="http://schemas.openxmlformats.org/officeDocument/2006/customXml" ds:itemID="{BF4C56F6-9FE0-4E61-AA37-15DD0CE2263D}">
  <ds:schemaRefs/>
</ds:datastoreItem>
</file>

<file path=customXml/itemProps30.xml><?xml version="1.0" encoding="utf-8"?>
<ds:datastoreItem xmlns:ds="http://schemas.openxmlformats.org/officeDocument/2006/customXml" ds:itemID="{D7E9A923-AD90-4316-9AFB-A4CF17FD34AF}">
  <ds:schemaRefs/>
</ds:datastoreItem>
</file>

<file path=customXml/itemProps31.xml><?xml version="1.0" encoding="utf-8"?>
<ds:datastoreItem xmlns:ds="http://schemas.openxmlformats.org/officeDocument/2006/customXml" ds:itemID="{52713349-38FA-4B5F-8171-1BD1229BA6F7}">
  <ds:schemaRefs/>
</ds:datastoreItem>
</file>

<file path=customXml/itemProps32.xml><?xml version="1.0" encoding="utf-8"?>
<ds:datastoreItem xmlns:ds="http://schemas.openxmlformats.org/officeDocument/2006/customXml" ds:itemID="{48C2C0D1-60C2-4987-9430-2C55CA607D4C}">
  <ds:schemaRefs/>
</ds:datastoreItem>
</file>

<file path=customXml/itemProps33.xml><?xml version="1.0" encoding="utf-8"?>
<ds:datastoreItem xmlns:ds="http://schemas.openxmlformats.org/officeDocument/2006/customXml" ds:itemID="{76EF64C8-48F7-404E-BF9E-427D14A9A502}">
  <ds:schemaRefs/>
</ds:datastoreItem>
</file>

<file path=customXml/itemProps34.xml><?xml version="1.0" encoding="utf-8"?>
<ds:datastoreItem xmlns:ds="http://schemas.openxmlformats.org/officeDocument/2006/customXml" ds:itemID="{8FC00F0E-82A4-42DE-AEF0-988DC32B94CE}">
  <ds:schemaRefs/>
</ds:datastoreItem>
</file>

<file path=customXml/itemProps35.xml><?xml version="1.0" encoding="utf-8"?>
<ds:datastoreItem xmlns:ds="http://schemas.openxmlformats.org/officeDocument/2006/customXml" ds:itemID="{C25446A7-F369-44FF-AE94-5DEC2E6EEEAB}">
  <ds:schemaRefs/>
</ds:datastoreItem>
</file>

<file path=customXml/itemProps36.xml><?xml version="1.0" encoding="utf-8"?>
<ds:datastoreItem xmlns:ds="http://schemas.openxmlformats.org/officeDocument/2006/customXml" ds:itemID="{A9EF5538-55C9-441D-AF02-9EB7B56B10ED}">
  <ds:schemaRefs/>
</ds:datastoreItem>
</file>

<file path=customXml/itemProps37.xml><?xml version="1.0" encoding="utf-8"?>
<ds:datastoreItem xmlns:ds="http://schemas.openxmlformats.org/officeDocument/2006/customXml" ds:itemID="{A78FCBC6-7332-45B2-BE25-A542E2A395EE}">
  <ds:schemaRefs/>
</ds:datastoreItem>
</file>

<file path=customXml/itemProps38.xml><?xml version="1.0" encoding="utf-8"?>
<ds:datastoreItem xmlns:ds="http://schemas.openxmlformats.org/officeDocument/2006/customXml" ds:itemID="{E71B1189-ECDD-493E-A6F7-CBE78E8D8EF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vt:i4>
      </vt:variant>
    </vt:vector>
  </HeadingPairs>
  <TitlesOfParts>
    <vt:vector size="11" baseType="lpstr">
      <vt:lpstr>Job tracker</vt:lpstr>
      <vt:lpstr>How to use</vt:lpstr>
      <vt:lpstr>Columns description</vt:lpstr>
      <vt:lpstr>Plan and delivery</vt:lpstr>
      <vt:lpstr>Lists</vt:lpstr>
      <vt:lpstr>Operator_List</vt:lpstr>
      <vt:lpstr>OutupMonth_List</vt:lpstr>
      <vt:lpstr>Progress_List</vt:lpstr>
      <vt:lpstr>ProgressCalculation_List</vt:lpstr>
      <vt:lpstr>Shortages_List</vt:lpstr>
      <vt:lpstr>Years_List</vt:lpstr>
    </vt:vector>
  </TitlesOfParts>
  <Company>Curtiss-Wright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Janda, Martin</dc:creator>
  <cp:lastModifiedBy>Janda, Martin</cp:lastModifiedBy>
  <cp:lastPrinted>2019-01-13T19:26:16Z</cp:lastPrinted>
  <dcterms:created xsi:type="dcterms:W3CDTF">2017-07-06T13:59:41Z</dcterms:created>
  <dcterms:modified xsi:type="dcterms:W3CDTF">2019-01-17T11:59:02Z</dcterms:modified>
</cp:coreProperties>
</file>